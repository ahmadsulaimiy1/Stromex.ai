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Customers" sheetId="3" state="visible" r:id="rId5"/>
    <sheet name="Revenue" sheetId="4" state="visible" r:id="rId6"/>
    <sheet name="P&amp;L" sheetId="5" state="visible" r:id="rId7"/>
    <sheet name="Headcount" sheetId="6" state="visible" r:id="rId8"/>
    <sheet name="Cash Flow" sheetId="7" state="visible" r:id="rId9"/>
    <sheet name="Scenarios" sheetId="8" state="visible" r:id="rId10"/>
    <sheet name="Sensitivity" sheetId="9" state="visible" r:id="rId11"/>
    <sheet name="Valuation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0" authorId="0">
      <text>
        <r>
          <rPr>
            <sz val="10"/>
            <rFont val="Arial"/>
            <family val="2"/>
          </rPr>
          <t xml:space="preserve">Phase I is deliberately slow: Book VIII §1.2 optimises for product quality and reputation, not for volume.</t>
        </r>
      </text>
    </comment>
    <comment ref="A11" authorId="0">
      <text>
        <r>
          <rPr>
            <sz val="10"/>
            <rFont val="Arial"/>
            <family val="2"/>
          </rPr>
          <t xml:space="preserve">Solved so the model reproduces Book VIII §5.2 institution counts. Referral density in an owner-led market: growth cannot be bought here (Book V §1.1), so it compounds off the installed base.</t>
        </r>
      </text>
    </comment>
    <comment ref="A12" authorId="0">
      <text>
        <r>
          <rPr>
            <sz val="10"/>
            <rFont val="Arial"/>
            <family val="2"/>
          </rPr>
          <t xml:space="preserve">Phase II. Partner-led distribution and the first country entries. Solved to Book VIII §5.2.</t>
        </r>
      </text>
    </comment>
    <comment ref="A13" authorId="0">
      <text>
        <r>
          <rPr>
            <sz val="10"/>
            <rFont val="Arial"/>
            <family val="2"/>
          </rPr>
          <t xml:space="preserve">Phase III. Large markets, longer cycles, law of large numbers. Solved to the 2046 milestone; the 2040 figure lands about 12% under Book VIII because one rate spans eleven years.</t>
        </r>
      </text>
    </comment>
    <comment ref="A14" authorId="0">
      <text>
        <r>
          <rPr>
            <sz val="10"/>
            <rFont val="Arial"/>
            <family val="2"/>
          </rPr>
          <t xml:space="preserve">Book V §7.3. The founding market is fee-collection fragile; this is the single most dangerous assumption in the model.</t>
        </r>
      </text>
    </comment>
    <comment ref="A16" authorId="0">
      <text>
        <r>
          <rPr>
            <sz val="10"/>
            <rFont val="Arial"/>
            <family val="2"/>
          </rPr>
          <t xml:space="preserve">Published 2026 benchmarks put sub-$25k ACV median NRR near 97%. Anything above 100% here is us beating our segment, and must be earned by the module ladder.</t>
        </r>
      </text>
    </comment>
    <comment ref="A17" authorId="0">
      <text>
        <r>
          <rPr>
            <sz val="10"/>
            <rFont val="Arial"/>
            <family val="2"/>
          </rPr>
          <t xml:space="preserve">Blended across bands. Book III §20.1 shows a small Band A school at roughly $1,413 recurring.</t>
        </r>
      </text>
    </comment>
    <comment ref="A18" authorId="0">
      <text>
        <r>
          <rPr>
            <sz val="10"/>
            <rFont val="Arial"/>
            <family val="2"/>
          </rPr>
          <t xml:space="preserve">Institutions arriving later are larger than those arriving early, within a band.</t>
        </r>
      </text>
    </comment>
    <comment ref="A19" authorId="0">
      <text>
        <r>
          <rPr>
            <sz val="10"/>
            <rFont val="Arial"/>
            <family val="2"/>
          </rPr>
          <t xml:space="preserve">Book I §6.4 prices Band A at 0.32x list and Band C at 1.00x. As the installed base internationalises, average realised price rises even with no list-price change. This single driver is what separates a $640m outcome from a $1.5bn one, and it is entirely a function of whether the UK and US entries in Book VIII Chapter 9 actually work.</t>
        </r>
      </text>
    </comment>
    <comment ref="A23" authorId="0">
      <text>
        <r>
          <rPr>
            <sz val="10"/>
            <rFont val="Arial"/>
            <family val="2"/>
          </rPr>
          <t xml:space="preserve">Book V §3: the procurement motion does not open until the reference base makes it winnable.</t>
        </r>
      </text>
    </comment>
    <comment ref="A25" authorId="0">
      <text>
        <r>
          <rPr>
            <sz val="10"/>
            <rFont val="Arial"/>
            <family val="2"/>
          </rPr>
          <t xml:space="preserve">Book III §20.4 models a 400-school state deployment at roughly $266k in year one.</t>
        </r>
      </text>
    </comment>
    <comment ref="A32" authorId="0">
      <text>
        <r>
          <rPr>
            <sz val="10"/>
            <rFont val="Arial"/>
            <family val="2"/>
          </rPr>
          <t xml:space="preserve">Issuers pay; verification is free to the verifier forever (Book I §5.3). This line is issuance, not checking.</t>
        </r>
      </text>
    </comment>
    <comment ref="A34" authorId="0">
      <text>
        <r>
          <rPr>
            <sz val="10"/>
            <rFont val="Arial"/>
            <family val="2"/>
          </rPr>
          <t xml:space="preserve">0.4% on top of the processor rate (Book III, Division 6).</t>
        </r>
      </text>
    </comment>
    <comment ref="A36" authorId="0">
      <text>
        <r>
          <rPr>
            <sz val="10"/>
            <rFont val="Arial"/>
            <family val="2"/>
          </rPr>
          <t xml:space="preserve">20% rev-share, deliberately below the 30% platform norm.</t>
        </r>
      </text>
    </comment>
    <comment ref="A41" authorId="0">
      <text>
        <r>
          <rPr>
            <sz val="10"/>
            <rFont val="Arial"/>
            <family val="2"/>
          </rPr>
          <t xml:space="preserve">Book II R12: an enabler, never a margin engine. Low margin by design.</t>
        </r>
      </text>
    </comment>
    <comment ref="A48" authorId="0">
      <text>
        <r>
          <rPr>
            <sz val="10"/>
            <rFont val="Arial"/>
            <family val="2"/>
          </rPr>
          <t xml:space="preserve">Mix shift toward software, not price rises. Assumes AI inference cost per task keeps falling — the most exposed line in the model (Book VIII §13.5).</t>
        </r>
      </text>
    </comment>
    <comment ref="A51" authorId="0">
      <text>
        <r>
          <rPr>
            <sz val="10"/>
            <rFont val="Arial"/>
            <family val="2"/>
          </rPr>
          <t xml:space="preserve">Operating leverage: acquisition cost falls as a share of revenue because referral and partner distribution carry more of the load (Book V §1.1).</t>
        </r>
      </text>
    </comment>
    <comment ref="A52" authorId="0">
      <text>
        <r>
          <rPr>
            <sz val="10"/>
            <rFont val="Arial"/>
            <family val="2"/>
          </rPr>
          <t xml:space="preserve">Funded as a fixed share of revenue, never as a residual (Book IX §8.4).</t>
        </r>
      </text>
    </comment>
    <comment ref="A56" authorId="0">
      <text>
        <r>
          <rPr>
            <sz val="10"/>
            <rFont val="Arial"/>
            <family val="2"/>
          </rPr>
          <t xml:space="preserve">A company building this has a cost floor regardless of revenue. Without it the model shows an implausibly small funding requirement, because ratio-based opex approaches zero as revenue does.</t>
        </r>
      </text>
    </comment>
    <comment ref="A57" authorId="0">
      <text>
        <r>
          <rPr>
            <sz val="10"/>
            <rFont val="Arial"/>
            <family val="2"/>
          </rPr>
          <t xml:space="preserve">The floor stops binding once ratio-based opex overtakes it — typically early in Phase II.</t>
        </r>
      </text>
    </comment>
    <comment ref="A61" authorId="0">
      <text>
        <r>
          <rPr>
            <sz val="10"/>
            <rFont val="Arial"/>
            <family val="2"/>
          </rPr>
          <t xml:space="preserve">Book II R2. Institutions that sign and do not pay are the base case for the bottom half of the founding market.</t>
        </r>
      </text>
    </comment>
    <comment ref="A63" authorId="0">
      <text>
        <r>
          <rPr>
            <sz val="10"/>
            <rFont val="Arial"/>
            <family val="2"/>
          </rPr>
          <t xml:space="preserve">Nigeria company income tax; blended as the group internationalises.</t>
        </r>
      </text>
    </comment>
    <comment ref="A65" authorId="0">
      <text>
        <r>
          <rPr>
            <sz val="10"/>
            <rFont val="Arial"/>
            <family val="2"/>
          </rPr>
          <t xml:space="preserve">Public SaaS median sat near 8.5x NTM in mid-2026 and near 4.5x in Q1 2023; private medians run 4–5x ARR. Premium 7–9x needs NRR&gt;120 and Rule of 40&gt;50. We do not control this number.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1.00 in 2027, rising straight-line to the 2046 assumption. Multiplies realised price as the base shifts out of Band A.</t>
        </r>
      </text>
    </comment>
    <comment ref="A9" authorId="0">
      <text>
        <r>
          <rPr>
            <sz val="10"/>
            <rFont val="Arial"/>
            <family val="2"/>
          </rPr>
          <t xml:space="preserve">Cohort model: prior-year revenue times NRR, plus this year's wins at current ARPA. This is where net revenue retention actually bites.</t>
        </r>
      </text>
    </comment>
    <comment ref="A38" authorId="0">
      <text>
        <r>
          <rPr>
            <sz val="10"/>
            <rFont val="Arial"/>
            <family val="2"/>
          </rPr>
          <t xml:space="preserve">Book I §6.2 requires recurring engines above 65% of group revenue by 2031.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8" authorId="0">
      <text>
        <r>
          <rPr>
            <sz val="10"/>
            <rFont val="Arial"/>
            <family val="2"/>
          </rPr>
          <t xml:space="preserve">Straight-line from the 2027 assumption to the 2040 assumption, flat thereafter.</t>
        </r>
      </text>
    </comment>
    <comment ref="A17" authorId="0">
      <text>
        <r>
          <rPr>
            <sz val="10"/>
            <rFont val="Arial"/>
            <family val="2"/>
          </rPr>
          <t xml:space="preserve">The floor a company of this ambition costs to run before revenue arrives. Binding only in the early years.</t>
        </r>
      </text>
    </comment>
    <comment ref="A26" authorId="0">
      <text>
        <r>
          <rPr>
            <sz val="10"/>
            <rFont val="Arial"/>
            <family val="2"/>
          </rPr>
          <t xml:space="preserve">Median across actively traded SaaS is about 28, and only a fifth exceed 40. This is the number that earns a premium multiple.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9" authorId="0">
      <text>
        <r>
          <rPr>
            <sz val="10"/>
            <rFont val="Arial"/>
            <family val="2"/>
          </rPr>
          <t xml:space="preserve">Book II R2: collection failure is a live risk, not a theoretical one. Debtor days is a scenario driver.</t>
        </r>
      </text>
    </comment>
    <comment ref="A15" authorId="0">
      <text>
        <r>
          <rPr>
            <sz val="10"/>
            <rFont val="Arial"/>
            <family val="2"/>
          </rPr>
          <t xml:space="preserve">The most negative point of cumulative free cash flow — the capital the plan actually needs before it funds itself.</t>
        </r>
      </text>
    </comment>
  </commentList>
</comments>
</file>

<file path=xl/sharedStrings.xml><?xml version="1.0" encoding="utf-8"?>
<sst xmlns="http://schemas.openxmlformats.org/spreadsheetml/2006/main" count="451" uniqueCount="257">
  <si>
    <t xml:space="preserve">THE STROMEX FINANCIAL MASTER PLAN</t>
  </si>
  <si>
    <t xml:space="preserve">A driver-based operating model · Book XI of the Executive Knowledge System</t>
  </si>
  <si>
    <t xml:space="preserve">What this is</t>
  </si>
  <si>
    <t xml:space="preserve">A model, not a forecast. Every number on every sheet is a formula over an assumption on the</t>
  </si>
  <si>
    <t xml:space="preserve">Assumptions sheet. Nothing is typed twice and nothing is pasted from elsewhere. Change a blue</t>
  </si>
  <si>
    <t xml:space="preserve">cell and the entire workbook recalculates — that is the point of it.</t>
  </si>
  <si>
    <t xml:space="preserve">How to use it</t>
  </si>
  <si>
    <t xml:space="preserve">1.  Set the scenario on Assumptions!B3:  1 = Conservative, 2 = Expected, 3 = Optimistic.</t>
  </si>
  <si>
    <t xml:space="preserve">2.  Every driver has three values, one per scenario. The Selected column picks the live one.</t>
  </si>
  <si>
    <t xml:space="preserve">3.  Edit only blue cells. Black cells are formulas; overwriting one silently breaks the model.</t>
  </si>
  <si>
    <t xml:space="preserve">4.  Sensitivity shows what happens when the two drivers that matter most are wrong.</t>
  </si>
  <si>
    <t xml:space="preserve">The honest statement</t>
  </si>
  <si>
    <t xml:space="preserve">These are scenarios constructed from stated assumptions. They are not forecasts of record, not</t>
  </si>
  <si>
    <t xml:space="preserve">projections of guaranteed outcome, and not a representation that any result will be achieved.</t>
  </si>
  <si>
    <t xml:space="preserve">Actual outcomes will differ and may differ materially. The correct way to read this workbook is:</t>
  </si>
  <si>
    <t xml:space="preserve">"if the company reaches X institutions at Y average revenue with Z margins, the arithmetic</t>
  </si>
  <si>
    <t xml:space="preserve">produces this result" — and then to argue with X, Y and Z, which is what the Assumptions sheet</t>
  </si>
  <si>
    <t xml:space="preserve">exists for. A model whose assumptions cannot be attacked is a brochure.</t>
  </si>
  <si>
    <t xml:space="preserve">Colour convention</t>
  </si>
  <si>
    <t xml:space="preserve">Blue = a hardcoded input you may edit.   Black = a formula.   Green = a link to another sheet.</t>
  </si>
  <si>
    <t xml:space="preserve">Yellow fill = the assumptions that move the answer most.</t>
  </si>
  <si>
    <t xml:space="preserve">Where this sits</t>
  </si>
  <si>
    <t xml:space="preserve">This workbook expands Book VIII, Chapter 5 (the three scenarios) into a full model. Book VIII</t>
  </si>
  <si>
    <t xml:space="preserve">governs the strategy; this governs the arithmetic. Where they differ, Book VIII wins and this</t>
  </si>
  <si>
    <t xml:space="preserve">workbook is corrected — the corpus is the authority, the model is an instrument.</t>
  </si>
  <si>
    <t xml:space="preserve">Sheets</t>
  </si>
  <si>
    <t xml:space="preserve">Assumptions   every driver, by scenario                Revenue        twenty revenue streams</t>
  </si>
  <si>
    <t xml:space="preserve">Customers     institution cohort roll-forward          P&amp;L            margin, opex, EBITDA</t>
  </si>
  <si>
    <t xml:space="preserve">Headcount     people and cost per function             Cash Flow      working capital and cash</t>
  </si>
  <si>
    <t xml:space="preserve">Scenarios     the three cases side by side             Sensitivity    what if we are wrong</t>
  </si>
  <si>
    <t xml:space="preserve">Valuation     revenue multiple grid, with its caveats</t>
  </si>
  <si>
    <t xml:space="preserve">ASSUMPTIONS</t>
  </si>
  <si>
    <t xml:space="preserve">Every driver in the model. Blue cells are inputs; edit these and nothing else.</t>
  </si>
  <si>
    <t xml:space="preserve">SCENARIO  (1 = Conservative, 2 = Expected, 3 = Optimistic)</t>
  </si>
  <si>
    <t xml:space="preserve">Driver</t>
  </si>
  <si>
    <t xml:space="preserve">Unit</t>
  </si>
  <si>
    <t xml:space="preserve">Conservative</t>
  </si>
  <si>
    <t xml:space="preserve">Expected</t>
  </si>
  <si>
    <t xml:space="preserve">Optimistic</t>
  </si>
  <si>
    <t xml:space="preserve">Selected</t>
  </si>
  <si>
    <t xml:space="preserve">CUSTOMER ACQUISITION</t>
  </si>
  <si>
    <t xml:space="preserve">New institutions won in 2027</t>
  </si>
  <si>
    <t xml:space="preserve">count</t>
  </si>
  <si>
    <t xml:space="preserve">Growth in annual new wins, 2028–2030</t>
  </si>
  <si>
    <t xml:space="preserve">%</t>
  </si>
  <si>
    <t xml:space="preserve">Growth in annual new wins, 2031–2035</t>
  </si>
  <si>
    <t xml:space="preserve">Growth in annual new wins, 2036–2046</t>
  </si>
  <si>
    <t xml:space="preserve">Gross annual institution churn</t>
  </si>
  <si>
    <t xml:space="preserve">REVENUE PER INSTITUTION</t>
  </si>
  <si>
    <t xml:space="preserve">Net revenue retention (existing base)</t>
  </si>
  <si>
    <t xml:space="preserve">First-year subscription ARPA, blended</t>
  </si>
  <si>
    <t xml:space="preserve">$</t>
  </si>
  <si>
    <t xml:space="preserve">ARPA drift on new cohorts</t>
  </si>
  <si>
    <t xml:space="preserve">Band mix uplift on price by 2046</t>
  </si>
  <si>
    <t xml:space="preserve">x</t>
  </si>
  <si>
    <t xml:space="preserve">UP-MARKET ACCOUNTS</t>
  </si>
  <si>
    <t xml:space="preserve">Universities, share of institutions</t>
  </si>
  <si>
    <t xml:space="preserve">University annual contract value</t>
  </si>
  <si>
    <t xml:space="preserve">Government contracts live, 2031</t>
  </si>
  <si>
    <t xml:space="preserve">Growth in government contracts p.a.</t>
  </si>
  <si>
    <t xml:space="preserve">Government contract annual value</t>
  </si>
  <si>
    <t xml:space="preserve">Enterprise accounts live, 2032</t>
  </si>
  <si>
    <t xml:space="preserve">Growth in enterprise accounts p.a.</t>
  </si>
  <si>
    <t xml:space="preserve">Enterprise annual contract value</t>
  </si>
  <si>
    <t xml:space="preserve">RECURRING REVENUE PER INSTITUTION, PER YEAR</t>
  </si>
  <si>
    <t xml:space="preserve">AI consumption, share of subscription</t>
  </si>
  <si>
    <t xml:space="preserve">Cloud and hosting, share of subscription</t>
  </si>
  <si>
    <t xml:space="preserve">Credentials and verification</t>
  </si>
  <si>
    <t xml:space="preserve">Identity, cards and issuance</t>
  </si>
  <si>
    <t xml:space="preserve">Payments platform fee</t>
  </si>
  <si>
    <t xml:space="preserve">Support and managed services</t>
  </si>
  <si>
    <t xml:space="preserve">Marketplace take</t>
  </si>
  <si>
    <t xml:space="preserve">Licensing and white-label</t>
  </si>
  <si>
    <t xml:space="preserve">ONE-TIME REVENUE PER NEW INSTITUTION</t>
  </si>
  <si>
    <t xml:space="preserve">Implementation and migration</t>
  </si>
  <si>
    <t xml:space="preserve">Creative and design</t>
  </si>
  <si>
    <t xml:space="preserve">Hardware and smart campus</t>
  </si>
  <si>
    <t xml:space="preserve">REVENUE NOT TIED TO INSTITUTION COUNT</t>
  </si>
  <si>
    <t xml:space="preserve">Consulting revenue, share of subscription</t>
  </si>
  <si>
    <t xml:space="preserve">Publishing and print, share of subscription</t>
  </si>
  <si>
    <t xml:space="preserve">Training and certification, share of subs</t>
  </si>
  <si>
    <t xml:space="preserve">MARGIN</t>
  </si>
  <si>
    <t xml:space="preserve">Blended gross margin, 2027</t>
  </si>
  <si>
    <t xml:space="preserve">Blended gross margin, 2040 onward</t>
  </si>
  <si>
    <t xml:space="preserve">OPERATING EXPENSE</t>
  </si>
  <si>
    <t xml:space="preserve">Sales and marketing, share of revenue, 2027</t>
  </si>
  <si>
    <t xml:space="preserve">Sales and marketing, share of revenue, 2046</t>
  </si>
  <si>
    <t xml:space="preserve">Research and development, share of revenue, 2027</t>
  </si>
  <si>
    <t xml:space="preserve">Research and development, share of revenue, 2046</t>
  </si>
  <si>
    <t xml:space="preserve">G&amp;A, share of revenue, 2027</t>
  </si>
  <si>
    <t xml:space="preserve">G&amp;A, share of revenue, 2046</t>
  </si>
  <si>
    <t xml:space="preserve">Minimum operating cost base, 2027</t>
  </si>
  <si>
    <t xml:space="preserve">Growth in minimum cost base p.a.</t>
  </si>
  <si>
    <t xml:space="preserve">Revenue per employee, 2027</t>
  </si>
  <si>
    <t xml:space="preserve">Revenue per employee, 2046</t>
  </si>
  <si>
    <t xml:space="preserve">CASH AND CAPITAL</t>
  </si>
  <si>
    <t xml:space="preserve">Debtor days (collection lag)</t>
  </si>
  <si>
    <t xml:space="preserve">days</t>
  </si>
  <si>
    <t xml:space="preserve">Capital expenditure, share of revenue</t>
  </si>
  <si>
    <t xml:space="preserve">Tax rate on profit</t>
  </si>
  <si>
    <t xml:space="preserve">VALUATION</t>
  </si>
  <si>
    <t xml:space="preserve">EV / revenue multiple</t>
  </si>
  <si>
    <t xml:space="preserve">CUSTOMERS</t>
  </si>
  <si>
    <t xml:space="preserve">Institution cohort roll-forward. Opening, won, lost, closing — the count every revenue line keys off.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</si>
  <si>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</si>
  <si>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</si>
  <si>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</si>
  <si>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</si>
  <si>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</si>
  <si>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</si>
  <si>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</si>
  <si>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</si>
  <si>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</si>
  <si>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</si>
  <si>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</si>
  <si>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</si>
  <si>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</si>
  <si>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</si>
  <si>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</si>
  <si>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</si>
  <si>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</si>
  <si>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</si>
  <si>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</si>
  <si>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</si>
  <si>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Year index</t>
  </si>
  <si>
    <t xml:space="preserve">#</t>
  </si>
  <si>
    <t xml:space="preserve">INSTITUTIONS</t>
  </si>
  <si>
    <t xml:space="preserve">Opening</t>
  </si>
  <si>
    <t xml:space="preserve">Won in year</t>
  </si>
  <si>
    <t xml:space="preserve">Lost in year</t>
  </si>
  <si>
    <t xml:space="preserve">Closing</t>
  </si>
  <si>
    <t xml:space="preserve">Average during year</t>
  </si>
  <si>
    <t xml:space="preserve">Universities</t>
  </si>
  <si>
    <t xml:space="preserve">Government contracts</t>
  </si>
  <si>
    <t xml:space="preserve">Enterprise accounts</t>
  </si>
  <si>
    <t xml:space="preserve">CHECKS</t>
  </si>
  <si>
    <t xml:space="preserve">Implied net adds</t>
  </si>
  <si>
    <t xml:space="preserve">Implied logo retention</t>
  </si>
  <si>
    <t xml:space="preserve">REVENUE</t>
  </si>
  <si>
    <t xml:space="preserve">Twenty streams. Subscription rolls forward on net revenue retention; everything else keys off customer counts.</t>
  </si>
  <si>
    <t xml:space="preserve">Band mix uplift</t>
  </si>
  <si>
    <t xml:space="preserve">CORE SUBSCRIPTION</t>
  </si>
  <si>
    <t xml:space="preserve">ARPA on new cohorts</t>
  </si>
  <si>
    <t xml:space="preserve">1  Institution subscriptions</t>
  </si>
  <si>
    <t xml:space="preserve">2  University subscriptions</t>
  </si>
  <si>
    <t xml:space="preserve">3  Government contracts</t>
  </si>
  <si>
    <t xml:space="preserve">4  Enterprise contracts</t>
  </si>
  <si>
    <t xml:space="preserve">Subscription subtotal</t>
  </si>
  <si>
    <t xml:space="preserve">CONSUMPTION &amp; PLATFORM</t>
  </si>
  <si>
    <t xml:space="preserve">5  AI consumption credits</t>
  </si>
  <si>
    <t xml:space="preserve">6  Cloud, hosting and storage</t>
  </si>
  <si>
    <t xml:space="preserve">7  Credentials and verification</t>
  </si>
  <si>
    <t xml:space="preserve">8  Identity, cards and issuance</t>
  </si>
  <si>
    <t xml:space="preserve">9  Payments platform fee</t>
  </si>
  <si>
    <t xml:space="preserve">10 Support and managed services</t>
  </si>
  <si>
    <t xml:space="preserve">11 Marketplace take</t>
  </si>
  <si>
    <t xml:space="preserve">12 Licensing and white-label</t>
  </si>
  <si>
    <t xml:space="preserve">Consumption &amp; platform subtotal</t>
  </si>
  <si>
    <t xml:space="preserve">SERVICES</t>
  </si>
  <si>
    <t xml:space="preserve">13 Consulting and advisory</t>
  </si>
  <si>
    <t xml:space="preserve">14 Publishing and print</t>
  </si>
  <si>
    <t xml:space="preserve">15 Training and certification</t>
  </si>
  <si>
    <t xml:space="preserve">16 Implementation and migration</t>
  </si>
  <si>
    <t xml:space="preserve">17 Creative and design</t>
  </si>
  <si>
    <t xml:space="preserve">18 Hardware and smart campus</t>
  </si>
  <si>
    <t xml:space="preserve">Services subtotal</t>
  </si>
  <si>
    <t xml:space="preserve">TOTAL REVENUE</t>
  </si>
  <si>
    <t xml:space="preserve">Total revenue</t>
  </si>
  <si>
    <t xml:space="preserve">Growth</t>
  </si>
  <si>
    <t xml:space="preserve">Recurring share of revenue</t>
  </si>
  <si>
    <t xml:space="preserve">Revenue per institution</t>
  </si>
  <si>
    <t xml:space="preserve">PROFIT &amp; LOSS</t>
  </si>
  <si>
    <t xml:space="preserve">Gross margin improves on mix, not on price rises. Operating expense is a share of revenue by policy.</t>
  </si>
  <si>
    <t xml:space="preserve">Revenue</t>
  </si>
  <si>
    <t xml:space="preserve">Gross margin %</t>
  </si>
  <si>
    <t xml:space="preserve">Gross profit</t>
  </si>
  <si>
    <t xml:space="preserve">Cost of revenue</t>
  </si>
  <si>
    <t xml:space="preserve">Sales and marketing</t>
  </si>
  <si>
    <t xml:space="preserve">Research and development</t>
  </si>
  <si>
    <t xml:space="preserve">General and administrative</t>
  </si>
  <si>
    <t xml:space="preserve">Ratio-based subtotal</t>
  </si>
  <si>
    <t xml:space="preserve">Minimum operating cost base</t>
  </si>
  <si>
    <t xml:space="preserve">Total operating expense</t>
  </si>
  <si>
    <t xml:space="preserve">EBITDA</t>
  </si>
  <si>
    <t xml:space="preserve">EBITDA margin</t>
  </si>
  <si>
    <t xml:space="preserve">Tax</t>
  </si>
  <si>
    <t xml:space="preserve">Net profit</t>
  </si>
  <si>
    <t xml:space="preserve">THE RULE OF 40</t>
  </si>
  <si>
    <t xml:space="preserve">Revenue growth + EBITDA margin</t>
  </si>
  <si>
    <t xml:space="preserve">HEADCOUNT</t>
  </si>
  <si>
    <t xml:space="preserve">Derived from revenue per employee, which is the metric the corpus tracks. Headcount is a cost, not an achievement.</t>
  </si>
  <si>
    <t xml:space="preserve">Revenue per employee</t>
  </si>
  <si>
    <t xml:space="preserve">Total headcount</t>
  </si>
  <si>
    <t xml:space="preserve">FTE</t>
  </si>
  <si>
    <t xml:space="preserve">Net hires in year</t>
  </si>
  <si>
    <t xml:space="preserve">Engineering and product</t>
  </si>
  <si>
    <t xml:space="preserve">Delivery and support</t>
  </si>
  <si>
    <t xml:space="preserve">Commercial</t>
  </si>
  <si>
    <t xml:space="preserve">Creative</t>
  </si>
  <si>
    <t xml:space="preserve">Corporate</t>
  </si>
  <si>
    <t xml:space="preserve">CASH FLOW</t>
  </si>
  <si>
    <t xml:space="preserve">Collection lag is modelled explicitly: in this market, revenue recognised is not cash received.</t>
  </si>
  <si>
    <t xml:space="preserve">Tax paid</t>
  </si>
  <si>
    <t xml:space="preserve">Receivables balance</t>
  </si>
  <si>
    <t xml:space="preserve">Movement in working capital</t>
  </si>
  <si>
    <t xml:space="preserve">Capital expenditure</t>
  </si>
  <si>
    <t xml:space="preserve">Free cash flow</t>
  </si>
  <si>
    <t xml:space="preserve">Cumulative free cash flow</t>
  </si>
  <si>
    <t xml:space="preserve">Peak funding requirement</t>
  </si>
  <si>
    <t xml:space="preserve">First cash-positive year</t>
  </si>
  <si>
    <t xml:space="preserve">Cash positive flag</t>
  </si>
  <si>
    <t xml:space="preserve">SCENARIOS</t>
  </si>
  <si>
    <t xml:space="preserve">The three cases side by side. These are the live model outputs for the selected scenario only; to fill the other columns, set Assumptions!B3 and read the result.</t>
  </si>
  <si>
    <t xml:space="preserve">Book VIII §5: plan against Expected, prepare for Conservative, and build so that Optimistic stays structurally possible.</t>
  </si>
  <si>
    <t xml:space="preserve">Metric</t>
  </si>
  <si>
    <t xml:space="preserve">Selected scenario</t>
  </si>
  <si>
    <t xml:space="preserve">Scenario</t>
  </si>
  <si>
    <t xml:space="preserve">Institutions, 2030</t>
  </si>
  <si>
    <t xml:space="preserve">Institutions, 2035</t>
  </si>
  <si>
    <t xml:space="preserve">Institutions, 2040</t>
  </si>
  <si>
    <t xml:space="preserve">Institutions, 2046</t>
  </si>
  <si>
    <t xml:space="preserve">Revenue, 2030</t>
  </si>
  <si>
    <t xml:space="preserve">Revenue, 2035</t>
  </si>
  <si>
    <t xml:space="preserve">Revenue, 2040</t>
  </si>
  <si>
    <t xml:space="preserve">Revenue, 2046</t>
  </si>
  <si>
    <t xml:space="preserve">Revenue CAGR, 2030–2040</t>
  </si>
  <si>
    <t xml:space="preserve">Recurring share, 2031</t>
  </si>
  <si>
    <t xml:space="preserve">Gross margin, 2040</t>
  </si>
  <si>
    <t xml:space="preserve">EBITDA margin, 2040</t>
  </si>
  <si>
    <t xml:space="preserve">Rule of 40, 2040</t>
  </si>
  <si>
    <t xml:space="preserve">Headcount, 2040</t>
  </si>
  <si>
    <t xml:space="preserve">Implied valuation, 2046</t>
  </si>
  <si>
    <t xml:space="preserve">How to read the valuation line</t>
  </si>
  <si>
    <t xml:space="preserve">It is revenue times a multiple we do not control. The same company was worth about 16x revenue in 2021 and</t>
  </si>
  <si>
    <t xml:space="preserve">about 4.5x in 2023. A $15bn outcome needs roughly $1.9bn of revenue at 8x, or $3.0bn at 5x; $40bn needs</t>
  </si>
  <si>
    <t xml:space="preserve">roughly $5bn at 8x. Treat the multiple as weather: plan the revenue, margin and retention, which are ours.</t>
  </si>
  <si>
    <t xml:space="preserve">SENSITIVITY</t>
  </si>
  <si>
    <t xml:space="preserve">2046 revenue as the two most dangerous assumptions move: net revenue retention and the rate at which new wins compound. Both are computed live from the model's own structure.</t>
  </si>
  <si>
    <t xml:space="preserve">Net revenue retention  →</t>
  </si>
  <si>
    <t xml:space="preserve">Growth in new wins, 2031–2035  ↓</t>
  </si>
  <si>
    <t xml:space="preserve">Reading this grid</t>
  </si>
  <si>
    <t xml:space="preserve">Figures are 2046 revenue in $ thousands, on the selected scenario's other assumptions.</t>
  </si>
  <si>
    <t xml:space="preserve">The highlighted cell is the Expected case. Move one column left and the outcome roughly halves:</t>
  </si>
  <si>
    <t xml:space="preserve">that is what net revenue retention does over twenty years, and why Book V Chapter 7 exists.</t>
  </si>
  <si>
    <t xml:space="preserve">Published 2026 benchmarks put median NRR at about 97% for sub-$25k ACV accounts — the leftmost</t>
  </si>
  <si>
    <t xml:space="preserve">column is not a pessimistic case, it is the segment median. Beating it is the whole plan.</t>
  </si>
  <si>
    <t xml:space="preserve">2046 enterprise value across revenue outcomes and multiples. Neither axis is within our control alone.</t>
  </si>
  <si>
    <t xml:space="preserve">Live model revenue, 2046</t>
  </si>
  <si>
    <t xml:space="preserve">Revenue 2046 ($bn)  ↓     Multiple  →</t>
  </si>
  <si>
    <t xml:space="preserve">The stated ambition</t>
  </si>
  <si>
    <t xml:space="preserve">Shaded cells land in the $15–40bn band. They require between roughly $1.9bn and $8bn of revenue,</t>
  </si>
  <si>
    <t xml:space="preserve">depending entirely on the multiple earned. The Conservative case does not approach the band; the</t>
  </si>
  <si>
    <t xml:space="preserve">Expected case touches it only at a premium multiple; the Optimistic case sits inside it.</t>
  </si>
  <si>
    <t xml:space="preserve">A premium multiple is earned by two numbers and no others: net revenue retention above 120%, and</t>
  </si>
  <si>
    <t xml:space="preserve">a Rule of 40 above 50. Both are on the P&amp;L and Sensitivity sheets. Neither is a marketing decision.</t>
  </si>
  <si>
    <t xml:space="preserve">This sheet is arithmetic, not a target. Book VIII §5 is explicit that a valuation must never become</t>
  </si>
  <si>
    <t xml:space="preserve">the operating objective, because optimising for it produces the behaviour Book I prohibits.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</si>
</sst>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0.0%;\(0.0%\);\-"/>
    <numFmt numFmtId="167" formatCode="\$#,##0;&quot;($&quot;#,##0\);\-"/>
    <numFmt numFmtId="168" formatCode="0.0\x"/>
    <numFmt numFmtId="169" formatCode="@"/>
    <numFmt numFmtId="170" formatCode="\$#,##0,;&quot;($&quot;#,##0,\);\-"/>
    <numFmt numFmtId="171" formatCode="0.00"/>
    <numFmt numFmtId="172" formatCode="\$#,##0.0&quot;bn&quot;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3C91"/>
      <name val="Arial"/>
      <family val="0"/>
      <charset val="1"/>
    </font>
    <font>
      <sz val="10"/>
      <color rgb="FF59595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0B3C91"/>
      <name val="Arial"/>
      <family val="0"/>
      <charset val="1"/>
    </font>
    <font>
      <b val="true"/>
      <sz val="15"/>
      <color rgb="FF0B3C9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B3C9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B3C91"/>
      <name val="Arial"/>
      <family val="0"/>
      <charset val="1"/>
    </font>
    <font>
      <sz val="8"/>
      <color rgb="FF59595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name val="Arial"/>
      <family val="2"/>
    </font>
    <font>
      <sz val="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008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9"/>
      <color rgb="FF0B3C91"/>
      <name val="Arial"/>
      <family val="0"/>
      <charset val="1"/>
    </font>
    <font>
      <b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A8"/>
        <bgColor rgb="FFD9EAD3"/>
      </patternFill>
    </fill>
    <fill>
      <patternFill patternType="solid">
        <fgColor rgb="FF0B3C91"/>
        <bgColor rgb="FF333399"/>
      </patternFill>
    </fill>
    <fill>
      <patternFill patternType="solid">
        <fgColor rgb="FFEAEFF7"/>
        <bgColor rgb="FFF5F7FA"/>
      </patternFill>
    </fill>
    <fill>
      <patternFill patternType="solid">
        <fgColor rgb="FFF5F7FA"/>
        <bgColor rgb="FFFFFFFF"/>
      </patternFill>
    </fill>
    <fill>
      <patternFill patternType="solid">
        <fgColor rgb="FFD9EAD3"/>
        <bgColor rgb="FFEAEF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0B3C91"/>
      </left>
      <right style="medium">
        <color rgb="FF0B3C91"/>
      </right>
      <top style="medium">
        <color rgb="FF0B3C91"/>
      </top>
      <bottom style="medium">
        <color rgb="FF0B3C91"/>
      </bottom>
      <diagonal/>
    </border>
    <border diagonalUp="false" diagonalDown="false">
      <left/>
      <right/>
      <top style="thin">
        <color rgb="FFC9CFD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7FA"/>
      <rgbColor rgb="FFEAEFF7"/>
      <rgbColor rgb="FF660066"/>
      <rgbColor rgb="FFFF8080"/>
      <rgbColor rgb="FF0066CC"/>
      <rgbColor rgb="FFC9CF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B3C9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4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3" t="s">
        <v>5</v>
      </c>
    </row>
    <row r="9" customFormat="false" ht="15" hidden="false" customHeight="false" outlineLevel="0" collapsed="false">
      <c r="B9" s="3"/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3"/>
    </row>
    <row r="16" customFormat="false" ht="15" hidden="false" customHeight="false" outlineLevel="0" collapsed="false">
      <c r="B16" s="4" t="s">
        <v>11</v>
      </c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3" t="s">
        <v>14</v>
      </c>
    </row>
    <row r="20" customFormat="false" ht="15" hidden="false" customHeight="false" outlineLevel="0" collapsed="false">
      <c r="B20" s="3" t="s">
        <v>15</v>
      </c>
    </row>
    <row r="21" customFormat="false" ht="15" hidden="false" customHeight="false" outlineLevel="0" collapsed="false">
      <c r="B21" s="3" t="s">
        <v>16</v>
      </c>
    </row>
    <row r="22" customFormat="false" ht="15" hidden="false" customHeight="false" outlineLevel="0" collapsed="false">
      <c r="B22" s="3" t="s">
        <v>17</v>
      </c>
    </row>
    <row r="23" customFormat="false" ht="15" hidden="false" customHeight="false" outlineLevel="0" collapsed="false">
      <c r="B23" s="3"/>
    </row>
    <row r="24" customFormat="false" ht="15" hidden="false" customHeight="false" outlineLevel="0" collapsed="false">
      <c r="B24" s="4" t="s">
        <v>18</v>
      </c>
    </row>
    <row r="25" customFormat="false" ht="15" hidden="false" customHeight="false" outlineLevel="0" collapsed="false">
      <c r="B25" s="3" t="s">
        <v>19</v>
      </c>
    </row>
    <row r="26" customFormat="false" ht="15" hidden="false" customHeight="false" outlineLevel="0" collapsed="false">
      <c r="B26" s="3" t="s">
        <v>20</v>
      </c>
    </row>
    <row r="27" customFormat="false" ht="15" hidden="false" customHeight="false" outlineLevel="0" collapsed="false">
      <c r="B27" s="3"/>
    </row>
    <row r="28" customFormat="false" ht="15" hidden="false" customHeight="false" outlineLevel="0" collapsed="false">
      <c r="B28" s="4" t="s">
        <v>21</v>
      </c>
    </row>
    <row r="29" customFormat="false" ht="15" hidden="false" customHeight="false" outlineLevel="0" collapsed="false">
      <c r="B29" s="3" t="s">
        <v>22</v>
      </c>
    </row>
    <row r="30" customFormat="false" ht="15" hidden="false" customHeight="false" outlineLevel="0" collapsed="false">
      <c r="B30" s="3" t="s">
        <v>23</v>
      </c>
    </row>
    <row r="31" customFormat="false" ht="15" hidden="false" customHeight="false" outlineLevel="0" collapsed="false">
      <c r="B31" s="3" t="s">
        <v>24</v>
      </c>
    </row>
    <row r="32" customFormat="false" ht="15" hidden="false" customHeight="false" outlineLevel="0" collapsed="false">
      <c r="B32" s="3"/>
    </row>
    <row r="33" customFormat="false" ht="15" hidden="false" customHeight="false" outlineLevel="0" collapsed="false">
      <c r="B33" s="4" t="s">
        <v>25</v>
      </c>
    </row>
    <row r="34" customFormat="false" ht="15" hidden="false" customHeight="false" outlineLevel="0" collapsed="false">
      <c r="B34" s="3" t="s">
        <v>26</v>
      </c>
    </row>
    <row r="35" customFormat="false" ht="15" hidden="false" customHeight="false" outlineLevel="0" collapsed="false">
      <c r="B35" s="3" t="s">
        <v>27</v>
      </c>
    </row>
    <row r="36" customFormat="false" ht="15" hidden="false" customHeight="false" outlineLevel="0" collapsed="false">
      <c r="B36" s="3" t="s">
        <v>28</v>
      </c>
    </row>
    <row r="37" customFormat="false" ht="15" hidden="false" customHeight="false" outlineLevel="0" collapsed="false">
      <c r="B37" s="3" t="s">
        <v>29</v>
      </c>
    </row>
    <row r="38" customFormat="false" ht="15" hidden="false" customHeight="false" outlineLevel="0" collapsed="false">
      <c r="B38" s="3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5" min="3" style="0" width="13"/>
    <col collapsed="false" customWidth="true" hidden="false" outlineLevel="0" max="6" min="6" style="0" width="14"/>
    <col collapsed="false" customWidth="true" hidden="false" outlineLevel="0" max="22" min="7" style="0" width="11"/>
  </cols>
  <sheetData>
    <row r="1" customFormat="false" ht="18.55" hidden="false" customHeight="false" outlineLevel="0" collapsed="false">
      <c r="A1" s="5" t="s">
        <v>31</v>
      </c>
    </row>
    <row r="2" customFormat="false" ht="15" hidden="false" customHeight="false" outlineLevel="0" collapsed="false">
      <c r="A2" s="6" t="s">
        <v>32</v>
      </c>
    </row>
    <row r="3" customFormat="false" ht="15" hidden="false" customHeight="false" outlineLevel="0" collapsed="false">
      <c r="A3" s="7" t="s">
        <v>33</v>
      </c>
      <c r="B3" s="8" t="n">
        <v>2</v>
      </c>
      <c r="C3" s="4" t="str">
        <f aca="false">IF($B$3=1,"Conservative",IF($B$3=2,"Expected","Optimistic"))</f>
        <v>Expected</v>
      </c>
    </row>
    <row r="8" customFormat="false" ht="15" hidden="false" customHeight="false" outlineLevel="0" collapsed="false">
      <c r="A8" s="9" t="s">
        <v>34</v>
      </c>
      <c r="B8" s="10" t="s">
        <v>35</v>
      </c>
      <c r="C8" s="10" t="s">
        <v>36</v>
      </c>
      <c r="D8" s="10" t="s">
        <v>37</v>
      </c>
      <c r="E8" s="10" t="s">
        <v>38</v>
      </c>
      <c r="F8" s="10" t="s">
        <v>39</v>
      </c>
    </row>
    <row r="9" customFormat="false" ht="15" hidden="false" customHeight="false" outlineLevel="0" collapsed="false">
      <c r="A9" s="11" t="s">
        <v>40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customFormat="false" ht="15" hidden="false" customHeight="false" outlineLevel="0" collapsed="false">
      <c r="A10" s="13" t="s">
        <v>41</v>
      </c>
      <c r="B10" s="14" t="s">
        <v>42</v>
      </c>
      <c r="C10" s="15" t="n">
        <v>40</v>
      </c>
      <c r="D10" s="15" t="n">
        <v>60</v>
      </c>
      <c r="E10" s="15" t="n">
        <v>90</v>
      </c>
      <c r="F10" s="16" t="n">
        <f aca="false">INDEX($C10:$E10,$B$3)</f>
        <v>60</v>
      </c>
    </row>
    <row r="11" customFormat="false" ht="15" hidden="false" customHeight="false" outlineLevel="0" collapsed="false">
      <c r="A11" s="13" t="s">
        <v>43</v>
      </c>
      <c r="B11" s="14" t="s">
        <v>44</v>
      </c>
      <c r="C11" s="17" t="n">
        <v>0.569</v>
      </c>
      <c r="D11" s="17" t="n">
        <v>0.845</v>
      </c>
      <c r="E11" s="17" t="n">
        <v>0.943</v>
      </c>
      <c r="F11" s="18" t="n">
        <f aca="false">INDEX($C11:$E11,$B$3)</f>
        <v>0.845</v>
      </c>
    </row>
    <row r="12" customFormat="false" ht="15" hidden="false" customHeight="false" outlineLevel="0" collapsed="false">
      <c r="A12" s="13" t="s">
        <v>45</v>
      </c>
      <c r="B12" s="14" t="s">
        <v>44</v>
      </c>
      <c r="C12" s="17" t="n">
        <v>0.338</v>
      </c>
      <c r="D12" s="17" t="n">
        <v>0.463</v>
      </c>
      <c r="E12" s="17" t="n">
        <v>0.537</v>
      </c>
      <c r="F12" s="18" t="n">
        <f aca="false">INDEX($C12:$E12,$B$3)</f>
        <v>0.463</v>
      </c>
    </row>
    <row r="13" customFormat="false" ht="15" hidden="false" customHeight="false" outlineLevel="0" collapsed="false">
      <c r="A13" s="13" t="s">
        <v>46</v>
      </c>
      <c r="B13" s="14" t="s">
        <v>44</v>
      </c>
      <c r="C13" s="17" t="n">
        <v>0.093</v>
      </c>
      <c r="D13" s="17" t="n">
        <v>0.122</v>
      </c>
      <c r="E13" s="17" t="n">
        <v>0.149</v>
      </c>
      <c r="F13" s="18" t="n">
        <f aca="false">INDEX($C13:$E13,$B$3)</f>
        <v>0.122</v>
      </c>
    </row>
    <row r="14" customFormat="false" ht="15" hidden="false" customHeight="false" outlineLevel="0" collapsed="false">
      <c r="A14" s="13" t="s">
        <v>47</v>
      </c>
      <c r="B14" s="14" t="s">
        <v>44</v>
      </c>
      <c r="C14" s="17" t="n">
        <v>0.11</v>
      </c>
      <c r="D14" s="17" t="n">
        <v>0.09</v>
      </c>
      <c r="E14" s="17" t="n">
        <v>0.07</v>
      </c>
      <c r="F14" s="18" t="n">
        <f aca="false">INDEX($C14:$E14,$B$3)</f>
        <v>0.09</v>
      </c>
    </row>
    <row r="15" customFormat="false" ht="15" hidden="false" customHeight="false" outlineLevel="0" collapsed="false">
      <c r="A15" s="11" t="s">
        <v>48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customFormat="false" ht="15" hidden="false" customHeight="false" outlineLevel="0" collapsed="false">
      <c r="A16" s="13" t="s">
        <v>49</v>
      </c>
      <c r="B16" s="14" t="s">
        <v>44</v>
      </c>
      <c r="C16" s="17" t="n">
        <v>1.02</v>
      </c>
      <c r="D16" s="17" t="n">
        <v>1.08</v>
      </c>
      <c r="E16" s="17" t="n">
        <v>1.15</v>
      </c>
      <c r="F16" s="18" t="n">
        <f aca="false">INDEX($C16:$E16,$B$3)</f>
        <v>1.08</v>
      </c>
    </row>
    <row r="17" customFormat="false" ht="15" hidden="false" customHeight="false" outlineLevel="0" collapsed="false">
      <c r="A17" s="13" t="s">
        <v>50</v>
      </c>
      <c r="B17" s="14" t="s">
        <v>51</v>
      </c>
      <c r="C17" s="19" t="n">
        <v>1400</v>
      </c>
      <c r="D17" s="19" t="n">
        <v>1800</v>
      </c>
      <c r="E17" s="19" t="n">
        <v>2300</v>
      </c>
      <c r="F17" s="20" t="n">
        <f aca="false">INDEX($C17:$E17,$B$3)</f>
        <v>1800</v>
      </c>
    </row>
    <row r="18" customFormat="false" ht="15" hidden="false" customHeight="false" outlineLevel="0" collapsed="false">
      <c r="A18" s="13" t="s">
        <v>52</v>
      </c>
      <c r="B18" s="14" t="s">
        <v>44</v>
      </c>
      <c r="C18" s="17" t="n">
        <v>0.03</v>
      </c>
      <c r="D18" s="17" t="n">
        <v>0.05</v>
      </c>
      <c r="E18" s="17" t="n">
        <v>0.07</v>
      </c>
      <c r="F18" s="18" t="n">
        <f aca="false">INDEX($C18:$E18,$B$3)</f>
        <v>0.05</v>
      </c>
    </row>
    <row r="19" customFormat="false" ht="15" hidden="false" customHeight="false" outlineLevel="0" collapsed="false">
      <c r="A19" s="13" t="s">
        <v>53</v>
      </c>
      <c r="B19" s="14" t="s">
        <v>54</v>
      </c>
      <c r="C19" s="21" t="n">
        <v>1.5</v>
      </c>
      <c r="D19" s="21" t="n">
        <v>2.4</v>
      </c>
      <c r="E19" s="21" t="n">
        <v>3.2</v>
      </c>
      <c r="F19" s="22" t="n">
        <f aca="false">INDEX($C19:$E19,$B$3)</f>
        <v>2.4</v>
      </c>
    </row>
    <row r="20" customFormat="false" ht="15" hidden="false" customHeight="false" outlineLevel="0" collapsed="false">
      <c r="A20" s="11" t="s">
        <v>55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customFormat="false" ht="15" hidden="false" customHeight="false" outlineLevel="0" collapsed="false">
      <c r="A21" s="13" t="s">
        <v>56</v>
      </c>
      <c r="B21" s="14" t="s">
        <v>44</v>
      </c>
      <c r="C21" s="17" t="n">
        <v>0.004</v>
      </c>
      <c r="D21" s="17" t="n">
        <v>0.01</v>
      </c>
      <c r="E21" s="17" t="n">
        <v>0.02</v>
      </c>
      <c r="F21" s="18" t="n">
        <f aca="false">INDEX($C21:$E21,$B$3)</f>
        <v>0.01</v>
      </c>
    </row>
    <row r="22" customFormat="false" ht="15" hidden="false" customHeight="false" outlineLevel="0" collapsed="false">
      <c r="A22" s="13" t="s">
        <v>57</v>
      </c>
      <c r="B22" s="14" t="s">
        <v>51</v>
      </c>
      <c r="C22" s="19" t="n">
        <v>26000</v>
      </c>
      <c r="D22" s="19" t="n">
        <v>34000</v>
      </c>
      <c r="E22" s="19" t="n">
        <v>44000</v>
      </c>
      <c r="F22" s="20" t="n">
        <f aca="false">INDEX($C22:$E22,$B$3)</f>
        <v>34000</v>
      </c>
    </row>
    <row r="23" customFormat="false" ht="15" hidden="false" customHeight="false" outlineLevel="0" collapsed="false">
      <c r="A23" s="13" t="s">
        <v>58</v>
      </c>
      <c r="B23" s="14" t="s">
        <v>42</v>
      </c>
      <c r="C23" s="15" t="n">
        <v>1</v>
      </c>
      <c r="D23" s="15" t="n">
        <v>2</v>
      </c>
      <c r="E23" s="15" t="n">
        <v>4</v>
      </c>
      <c r="F23" s="16" t="n">
        <f aca="false">INDEX($C23:$E23,$B$3)</f>
        <v>2</v>
      </c>
    </row>
    <row r="24" customFormat="false" ht="15" hidden="false" customHeight="false" outlineLevel="0" collapsed="false">
      <c r="A24" s="13" t="s">
        <v>59</v>
      </c>
      <c r="B24" s="14" t="s">
        <v>44</v>
      </c>
      <c r="C24" s="17" t="n">
        <v>0.15</v>
      </c>
      <c r="D24" s="17" t="n">
        <v>0.3</v>
      </c>
      <c r="E24" s="17" t="n">
        <v>0.45</v>
      </c>
      <c r="F24" s="18" t="n">
        <f aca="false">INDEX($C24:$E24,$B$3)</f>
        <v>0.3</v>
      </c>
    </row>
    <row r="25" customFormat="false" ht="15" hidden="false" customHeight="false" outlineLevel="0" collapsed="false">
      <c r="A25" s="13" t="s">
        <v>60</v>
      </c>
      <c r="B25" s="14" t="s">
        <v>51</v>
      </c>
      <c r="C25" s="19" t="n">
        <v>110000</v>
      </c>
      <c r="D25" s="19" t="n">
        <v>150000</v>
      </c>
      <c r="E25" s="19" t="n">
        <v>220000</v>
      </c>
      <c r="F25" s="20" t="n">
        <f aca="false">INDEX($C25:$E25,$B$3)</f>
        <v>150000</v>
      </c>
    </row>
    <row r="26" customFormat="false" ht="15" hidden="false" customHeight="false" outlineLevel="0" collapsed="false">
      <c r="A26" s="13" t="s">
        <v>61</v>
      </c>
      <c r="B26" s="14" t="s">
        <v>42</v>
      </c>
      <c r="C26" s="15" t="n">
        <v>2</v>
      </c>
      <c r="D26" s="15" t="n">
        <v>5</v>
      </c>
      <c r="E26" s="15" t="n">
        <v>10</v>
      </c>
      <c r="F26" s="16" t="n">
        <f aca="false">INDEX($C26:$E26,$B$3)</f>
        <v>5</v>
      </c>
    </row>
    <row r="27" customFormat="false" ht="15" hidden="false" customHeight="false" outlineLevel="0" collapsed="false">
      <c r="A27" s="13" t="s">
        <v>62</v>
      </c>
      <c r="B27" s="14" t="s">
        <v>44</v>
      </c>
      <c r="C27" s="17" t="n">
        <v>0.18</v>
      </c>
      <c r="D27" s="17" t="n">
        <v>0.32</v>
      </c>
      <c r="E27" s="17" t="n">
        <v>0.48</v>
      </c>
      <c r="F27" s="18" t="n">
        <f aca="false">INDEX($C27:$E27,$B$3)</f>
        <v>0.32</v>
      </c>
    </row>
    <row r="28" customFormat="false" ht="15" hidden="false" customHeight="false" outlineLevel="0" collapsed="false">
      <c r="A28" s="13" t="s">
        <v>63</v>
      </c>
      <c r="B28" s="14" t="s">
        <v>51</v>
      </c>
      <c r="C28" s="19" t="n">
        <v>42000</v>
      </c>
      <c r="D28" s="19" t="n">
        <v>60000</v>
      </c>
      <c r="E28" s="19" t="n">
        <v>90000</v>
      </c>
      <c r="F28" s="20" t="n">
        <f aca="false">INDEX($C28:$E28,$B$3)</f>
        <v>60000</v>
      </c>
    </row>
    <row r="29" customFormat="false" ht="15" hidden="false" customHeight="false" outlineLevel="0" collapsed="false">
      <c r="A29" s="11" t="s">
        <v>64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customFormat="false" ht="15" hidden="false" customHeight="false" outlineLevel="0" collapsed="false">
      <c r="A30" s="13" t="s">
        <v>65</v>
      </c>
      <c r="B30" s="14" t="s">
        <v>44</v>
      </c>
      <c r="C30" s="17" t="n">
        <v>0.07</v>
      </c>
      <c r="D30" s="17" t="n">
        <v>0.12</v>
      </c>
      <c r="E30" s="17" t="n">
        <v>0.18</v>
      </c>
      <c r="F30" s="18" t="n">
        <f aca="false">INDEX($C30:$E30,$B$3)</f>
        <v>0.12</v>
      </c>
    </row>
    <row r="31" customFormat="false" ht="15" hidden="false" customHeight="false" outlineLevel="0" collapsed="false">
      <c r="A31" s="13" t="s">
        <v>66</v>
      </c>
      <c r="B31" s="14" t="s">
        <v>44</v>
      </c>
      <c r="C31" s="17" t="n">
        <v>0.05</v>
      </c>
      <c r="D31" s="17" t="n">
        <v>0.07</v>
      </c>
      <c r="E31" s="17" t="n">
        <v>0.09</v>
      </c>
      <c r="F31" s="18" t="n">
        <f aca="false">INDEX($C31:$E31,$B$3)</f>
        <v>0.07</v>
      </c>
    </row>
    <row r="32" customFormat="false" ht="15" hidden="false" customHeight="false" outlineLevel="0" collapsed="false">
      <c r="A32" s="13" t="s">
        <v>67</v>
      </c>
      <c r="B32" s="14" t="s">
        <v>51</v>
      </c>
      <c r="C32" s="19" t="n">
        <v>240</v>
      </c>
      <c r="D32" s="19" t="n">
        <v>330</v>
      </c>
      <c r="E32" s="19" t="n">
        <v>450</v>
      </c>
      <c r="F32" s="20" t="n">
        <f aca="false">INDEX($C32:$E32,$B$3)</f>
        <v>330</v>
      </c>
    </row>
    <row r="33" customFormat="false" ht="15" hidden="false" customHeight="false" outlineLevel="0" collapsed="false">
      <c r="A33" s="13" t="s">
        <v>68</v>
      </c>
      <c r="B33" s="14" t="s">
        <v>51</v>
      </c>
      <c r="C33" s="19" t="n">
        <v>380</v>
      </c>
      <c r="D33" s="19" t="n">
        <v>580</v>
      </c>
      <c r="E33" s="19" t="n">
        <v>860</v>
      </c>
      <c r="F33" s="20" t="n">
        <f aca="false">INDEX($C33:$E33,$B$3)</f>
        <v>580</v>
      </c>
    </row>
    <row r="34" customFormat="false" ht="15" hidden="false" customHeight="false" outlineLevel="0" collapsed="false">
      <c r="A34" s="13" t="s">
        <v>69</v>
      </c>
      <c r="B34" s="14" t="s">
        <v>51</v>
      </c>
      <c r="C34" s="19" t="n">
        <v>80</v>
      </c>
      <c r="D34" s="19" t="n">
        <v>145</v>
      </c>
      <c r="E34" s="19" t="n">
        <v>240</v>
      </c>
      <c r="F34" s="20" t="n">
        <f aca="false">INDEX($C34:$E34,$B$3)</f>
        <v>145</v>
      </c>
    </row>
    <row r="35" customFormat="false" ht="15" hidden="false" customHeight="false" outlineLevel="0" collapsed="false">
      <c r="A35" s="13" t="s">
        <v>70</v>
      </c>
      <c r="B35" s="14" t="s">
        <v>51</v>
      </c>
      <c r="C35" s="19" t="n">
        <v>70</v>
      </c>
      <c r="D35" s="19" t="n">
        <v>130</v>
      </c>
      <c r="E35" s="19" t="n">
        <v>210</v>
      </c>
      <c r="F35" s="20" t="n">
        <f aca="false">INDEX($C35:$E35,$B$3)</f>
        <v>130</v>
      </c>
    </row>
    <row r="36" customFormat="false" ht="15" hidden="false" customHeight="false" outlineLevel="0" collapsed="false">
      <c r="A36" s="13" t="s">
        <v>71</v>
      </c>
      <c r="B36" s="14" t="s">
        <v>51</v>
      </c>
      <c r="C36" s="19" t="n">
        <v>12</v>
      </c>
      <c r="D36" s="19" t="n">
        <v>32</v>
      </c>
      <c r="E36" s="19" t="n">
        <v>68</v>
      </c>
      <c r="F36" s="20" t="n">
        <f aca="false">INDEX($C36:$E36,$B$3)</f>
        <v>32</v>
      </c>
    </row>
    <row r="37" customFormat="false" ht="15" hidden="false" customHeight="false" outlineLevel="0" collapsed="false">
      <c r="A37" s="13" t="s">
        <v>72</v>
      </c>
      <c r="B37" s="14" t="s">
        <v>51</v>
      </c>
      <c r="C37" s="19" t="n">
        <v>20</v>
      </c>
      <c r="D37" s="19" t="n">
        <v>55</v>
      </c>
      <c r="E37" s="19" t="n">
        <v>115</v>
      </c>
      <c r="F37" s="20" t="n">
        <f aca="false">INDEX($C37:$E37,$B$3)</f>
        <v>55</v>
      </c>
    </row>
    <row r="38" customFormat="false" ht="15" hidden="false" customHeight="false" outlineLevel="0" collapsed="false">
      <c r="A38" s="11" t="s">
        <v>73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customFormat="false" ht="15" hidden="false" customHeight="false" outlineLevel="0" collapsed="false">
      <c r="A39" s="13" t="s">
        <v>74</v>
      </c>
      <c r="B39" s="14" t="s">
        <v>51</v>
      </c>
      <c r="C39" s="19" t="n">
        <v>500</v>
      </c>
      <c r="D39" s="19" t="n">
        <v>700</v>
      </c>
      <c r="E39" s="19" t="n">
        <v>950</v>
      </c>
      <c r="F39" s="20" t="n">
        <f aca="false">INDEX($C39:$E39,$B$3)</f>
        <v>700</v>
      </c>
    </row>
    <row r="40" customFormat="false" ht="15" hidden="false" customHeight="false" outlineLevel="0" collapsed="false">
      <c r="A40" s="13" t="s">
        <v>75</v>
      </c>
      <c r="B40" s="14" t="s">
        <v>51</v>
      </c>
      <c r="C40" s="19" t="n">
        <v>260</v>
      </c>
      <c r="D40" s="19" t="n">
        <v>420</v>
      </c>
      <c r="E40" s="19" t="n">
        <v>640</v>
      </c>
      <c r="F40" s="20" t="n">
        <f aca="false">INDEX($C40:$E40,$B$3)</f>
        <v>420</v>
      </c>
    </row>
    <row r="41" customFormat="false" ht="15" hidden="false" customHeight="false" outlineLevel="0" collapsed="false">
      <c r="A41" s="13" t="s">
        <v>76</v>
      </c>
      <c r="B41" s="14" t="s">
        <v>51</v>
      </c>
      <c r="C41" s="19" t="n">
        <v>170</v>
      </c>
      <c r="D41" s="19" t="n">
        <v>300</v>
      </c>
      <c r="E41" s="19" t="n">
        <v>490</v>
      </c>
      <c r="F41" s="20" t="n">
        <f aca="false">INDEX($C41:$E41,$B$3)</f>
        <v>300</v>
      </c>
    </row>
    <row r="42" customFormat="false" ht="15" hidden="false" customHeight="false" outlineLevel="0" collapsed="false">
      <c r="A42" s="11" t="s">
        <v>77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 customFormat="false" ht="15" hidden="false" customHeight="false" outlineLevel="0" collapsed="false">
      <c r="A43" s="13" t="s">
        <v>78</v>
      </c>
      <c r="B43" s="14" t="s">
        <v>44</v>
      </c>
      <c r="C43" s="17" t="n">
        <v>0.09</v>
      </c>
      <c r="D43" s="17" t="n">
        <v>0.13</v>
      </c>
      <c r="E43" s="17" t="n">
        <v>0.18</v>
      </c>
      <c r="F43" s="18" t="n">
        <f aca="false">INDEX($C43:$E43,$B$3)</f>
        <v>0.13</v>
      </c>
    </row>
    <row r="44" customFormat="false" ht="15" hidden="false" customHeight="false" outlineLevel="0" collapsed="false">
      <c r="A44" s="13" t="s">
        <v>79</v>
      </c>
      <c r="B44" s="14" t="s">
        <v>44</v>
      </c>
      <c r="C44" s="17" t="n">
        <v>0.06</v>
      </c>
      <c r="D44" s="17" t="n">
        <v>0.09</v>
      </c>
      <c r="E44" s="17" t="n">
        <v>0.13</v>
      </c>
      <c r="F44" s="18" t="n">
        <f aca="false">INDEX($C44:$E44,$B$3)</f>
        <v>0.09</v>
      </c>
    </row>
    <row r="45" customFormat="false" ht="15" hidden="false" customHeight="false" outlineLevel="0" collapsed="false">
      <c r="A45" s="13" t="s">
        <v>80</v>
      </c>
      <c r="B45" s="14" t="s">
        <v>44</v>
      </c>
      <c r="C45" s="17" t="n">
        <v>0.02</v>
      </c>
      <c r="D45" s="17" t="n">
        <v>0.04</v>
      </c>
      <c r="E45" s="17" t="n">
        <v>0.06</v>
      </c>
      <c r="F45" s="18" t="n">
        <f aca="false">INDEX($C45:$E45,$B$3)</f>
        <v>0.04</v>
      </c>
    </row>
    <row r="46" customFormat="false" ht="15" hidden="false" customHeight="false" outlineLevel="0" collapsed="false">
      <c r="A46" s="11" t="s">
        <v>81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 customFormat="false" ht="15" hidden="false" customHeight="false" outlineLevel="0" collapsed="false">
      <c r="A47" s="13" t="s">
        <v>82</v>
      </c>
      <c r="B47" s="14" t="s">
        <v>44</v>
      </c>
      <c r="C47" s="17" t="n">
        <v>0.48</v>
      </c>
      <c r="D47" s="17" t="n">
        <v>0.52</v>
      </c>
      <c r="E47" s="17" t="n">
        <v>0.56</v>
      </c>
      <c r="F47" s="18" t="n">
        <f aca="false">INDEX($C47:$E47,$B$3)</f>
        <v>0.52</v>
      </c>
    </row>
    <row r="48" customFormat="false" ht="15" hidden="false" customHeight="false" outlineLevel="0" collapsed="false">
      <c r="A48" s="13" t="s">
        <v>83</v>
      </c>
      <c r="B48" s="14" t="s">
        <v>44</v>
      </c>
      <c r="C48" s="17" t="n">
        <v>0.68</v>
      </c>
      <c r="D48" s="17" t="n">
        <v>0.76</v>
      </c>
      <c r="E48" s="17" t="n">
        <v>0.81</v>
      </c>
      <c r="F48" s="18" t="n">
        <f aca="false">INDEX($C48:$E48,$B$3)</f>
        <v>0.76</v>
      </c>
    </row>
    <row r="49" customFormat="false" ht="15" hidden="false" customHeight="false" outlineLevel="0" collapsed="false">
      <c r="A49" s="11" t="s">
        <v>84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 customFormat="false" ht="15" hidden="false" customHeight="false" outlineLevel="0" collapsed="false">
      <c r="A50" s="13" t="s">
        <v>85</v>
      </c>
      <c r="B50" s="14" t="s">
        <v>44</v>
      </c>
      <c r="C50" s="17" t="n">
        <v>0.32</v>
      </c>
      <c r="D50" s="17" t="n">
        <v>0.3</v>
      </c>
      <c r="E50" s="17" t="n">
        <v>0.28</v>
      </c>
      <c r="F50" s="18" t="n">
        <f aca="false">INDEX($C50:$E50,$B$3)</f>
        <v>0.3</v>
      </c>
    </row>
    <row r="51" customFormat="false" ht="15" hidden="false" customHeight="false" outlineLevel="0" collapsed="false">
      <c r="A51" s="13" t="s">
        <v>86</v>
      </c>
      <c r="B51" s="14" t="s">
        <v>44</v>
      </c>
      <c r="C51" s="17" t="n">
        <v>0.2</v>
      </c>
      <c r="D51" s="17" t="n">
        <v>0.17</v>
      </c>
      <c r="E51" s="17" t="n">
        <v>0.15</v>
      </c>
      <c r="F51" s="18" t="n">
        <f aca="false">INDEX($C51:$E51,$B$3)</f>
        <v>0.17</v>
      </c>
    </row>
    <row r="52" customFormat="false" ht="15" hidden="false" customHeight="false" outlineLevel="0" collapsed="false">
      <c r="A52" s="13" t="s">
        <v>87</v>
      </c>
      <c r="B52" s="14" t="s">
        <v>44</v>
      </c>
      <c r="C52" s="17" t="n">
        <v>0.3</v>
      </c>
      <c r="D52" s="17" t="n">
        <v>0.28</v>
      </c>
      <c r="E52" s="17" t="n">
        <v>0.26</v>
      </c>
      <c r="F52" s="18" t="n">
        <f aca="false">INDEX($C52:$E52,$B$3)</f>
        <v>0.28</v>
      </c>
    </row>
    <row r="53" customFormat="false" ht="15" hidden="false" customHeight="false" outlineLevel="0" collapsed="false">
      <c r="A53" s="13" t="s">
        <v>88</v>
      </c>
      <c r="B53" s="14" t="s">
        <v>44</v>
      </c>
      <c r="C53" s="17" t="n">
        <v>0.19</v>
      </c>
      <c r="D53" s="17" t="n">
        <v>0.17</v>
      </c>
      <c r="E53" s="17" t="n">
        <v>0.15</v>
      </c>
      <c r="F53" s="18" t="n">
        <f aca="false">INDEX($C53:$E53,$B$3)</f>
        <v>0.17</v>
      </c>
    </row>
    <row r="54" customFormat="false" ht="15" hidden="false" customHeight="false" outlineLevel="0" collapsed="false">
      <c r="A54" s="13" t="s">
        <v>89</v>
      </c>
      <c r="B54" s="14" t="s">
        <v>44</v>
      </c>
      <c r="C54" s="17" t="n">
        <v>0.2</v>
      </c>
      <c r="D54" s="17" t="n">
        <v>0.18</v>
      </c>
      <c r="E54" s="17" t="n">
        <v>0.16</v>
      </c>
      <c r="F54" s="18" t="n">
        <f aca="false">INDEX($C54:$E54,$B$3)</f>
        <v>0.18</v>
      </c>
    </row>
    <row r="55" customFormat="false" ht="15" hidden="false" customHeight="false" outlineLevel="0" collapsed="false">
      <c r="A55" s="13" t="s">
        <v>90</v>
      </c>
      <c r="B55" s="14" t="s">
        <v>44</v>
      </c>
      <c r="C55" s="17" t="n">
        <v>0.11</v>
      </c>
      <c r="D55" s="17" t="n">
        <v>0.09</v>
      </c>
      <c r="E55" s="17" t="n">
        <v>0.08</v>
      </c>
      <c r="F55" s="18" t="n">
        <f aca="false">INDEX($C55:$E55,$B$3)</f>
        <v>0.09</v>
      </c>
    </row>
    <row r="56" customFormat="false" ht="15" hidden="false" customHeight="false" outlineLevel="0" collapsed="false">
      <c r="A56" s="13" t="s">
        <v>91</v>
      </c>
      <c r="B56" s="14" t="s">
        <v>51</v>
      </c>
      <c r="C56" s="19" t="n">
        <v>1500000</v>
      </c>
      <c r="D56" s="19" t="n">
        <v>1200000</v>
      </c>
      <c r="E56" s="19" t="n">
        <v>900000</v>
      </c>
      <c r="F56" s="20" t="n">
        <f aca="false">INDEX($C56:$E56,$B$3)</f>
        <v>1200000</v>
      </c>
    </row>
    <row r="57" customFormat="false" ht="15" hidden="false" customHeight="false" outlineLevel="0" collapsed="false">
      <c r="A57" s="13" t="s">
        <v>92</v>
      </c>
      <c r="B57" s="14" t="s">
        <v>44</v>
      </c>
      <c r="C57" s="17" t="n">
        <v>0.34</v>
      </c>
      <c r="D57" s="17" t="n">
        <v>0.3</v>
      </c>
      <c r="E57" s="17" t="n">
        <v>0.26</v>
      </c>
      <c r="F57" s="18" t="n">
        <f aca="false">INDEX($C57:$E57,$B$3)</f>
        <v>0.3</v>
      </c>
    </row>
    <row r="58" customFormat="false" ht="15" hidden="false" customHeight="false" outlineLevel="0" collapsed="false">
      <c r="A58" s="13" t="s">
        <v>93</v>
      </c>
      <c r="B58" s="14" t="s">
        <v>51</v>
      </c>
      <c r="C58" s="19" t="n">
        <v>34000</v>
      </c>
      <c r="D58" s="19" t="n">
        <v>40000</v>
      </c>
      <c r="E58" s="19" t="n">
        <v>48000</v>
      </c>
      <c r="F58" s="20" t="n">
        <f aca="false">INDEX($C58:$E58,$B$3)</f>
        <v>40000</v>
      </c>
    </row>
    <row r="59" customFormat="false" ht="15" hidden="false" customHeight="false" outlineLevel="0" collapsed="false">
      <c r="A59" s="13" t="s">
        <v>94</v>
      </c>
      <c r="B59" s="14" t="s">
        <v>51</v>
      </c>
      <c r="C59" s="19" t="n">
        <v>150000</v>
      </c>
      <c r="D59" s="19" t="n">
        <v>185000</v>
      </c>
      <c r="E59" s="19" t="n">
        <v>230000</v>
      </c>
      <c r="F59" s="20" t="n">
        <f aca="false">INDEX($C59:$E59,$B$3)</f>
        <v>185000</v>
      </c>
    </row>
    <row r="60" customFormat="false" ht="15" hidden="false" customHeight="false" outlineLevel="0" collapsed="false">
      <c r="A60" s="11" t="s">
        <v>95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customFormat="false" ht="15" hidden="false" customHeight="false" outlineLevel="0" collapsed="false">
      <c r="A61" s="13" t="s">
        <v>96</v>
      </c>
      <c r="B61" s="14" t="s">
        <v>97</v>
      </c>
      <c r="C61" s="15" t="n">
        <v>75</v>
      </c>
      <c r="D61" s="15" t="n">
        <v>55</v>
      </c>
      <c r="E61" s="15" t="n">
        <v>40</v>
      </c>
      <c r="F61" s="16" t="n">
        <f aca="false">INDEX($C61:$E61,$B$3)</f>
        <v>55</v>
      </c>
    </row>
    <row r="62" customFormat="false" ht="15" hidden="false" customHeight="false" outlineLevel="0" collapsed="false">
      <c r="A62" s="13" t="s">
        <v>98</v>
      </c>
      <c r="B62" s="14" t="s">
        <v>44</v>
      </c>
      <c r="C62" s="17" t="n">
        <v>0.06</v>
      </c>
      <c r="D62" s="17" t="n">
        <v>0.05</v>
      </c>
      <c r="E62" s="17" t="n">
        <v>0.04</v>
      </c>
      <c r="F62" s="18" t="n">
        <f aca="false">INDEX($C62:$E62,$B$3)</f>
        <v>0.05</v>
      </c>
    </row>
    <row r="63" customFormat="false" ht="15" hidden="false" customHeight="false" outlineLevel="0" collapsed="false">
      <c r="A63" s="13" t="s">
        <v>99</v>
      </c>
      <c r="B63" s="14" t="s">
        <v>44</v>
      </c>
      <c r="C63" s="17" t="n">
        <v>0.3</v>
      </c>
      <c r="D63" s="17" t="n">
        <v>0.3</v>
      </c>
      <c r="E63" s="17" t="n">
        <v>0.3</v>
      </c>
      <c r="F63" s="18" t="n">
        <f aca="false">INDEX($C63:$E63,$B$3)</f>
        <v>0.3</v>
      </c>
    </row>
    <row r="64" customFormat="false" ht="15" hidden="false" customHeight="false" outlineLevel="0" collapsed="false">
      <c r="A64" s="11" t="s">
        <v>100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 customFormat="false" ht="15" hidden="false" customHeight="false" outlineLevel="0" collapsed="false">
      <c r="A65" s="13" t="s">
        <v>101</v>
      </c>
      <c r="B65" s="14" t="s">
        <v>54</v>
      </c>
      <c r="C65" s="21" t="n">
        <v>4</v>
      </c>
      <c r="D65" s="21" t="n">
        <v>6</v>
      </c>
      <c r="E65" s="21" t="n">
        <v>8</v>
      </c>
      <c r="F65" s="22" t="n">
        <f aca="false">INDEX($C65:$E65,$B$3)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2" min="2" style="0" width="11"/>
  </cols>
  <sheetData>
    <row r="1" customFormat="false" ht="18.55" hidden="false" customHeight="false" outlineLevel="0" collapsed="false">
      <c r="A1" s="5" t="s">
        <v>102</v>
      </c>
    </row>
    <row r="2" customFormat="false" ht="15" hidden="false" customHeight="false" outlineLevel="0" collapsed="false">
      <c r="A2" s="6" t="s">
        <v>103</v>
      </c>
    </row>
    <row r="5" customFormat="false" ht="15" hidden="false" customHeight="false" outlineLevel="0" collapsed="false">
      <c r="A5" s="23"/>
      <c r="B5" s="10" t="s">
        <v>35</v>
      </c>
      <c r="C5" s="10" t="s">
        <v>104</v>
      </c>
      <c r="D5" s="10" t="s">
        <v>105</v>
      </c>
      <c r="E5" s="10" t="s">
        <v>106</v>
      </c>
      <c r="F5" s="10" t="s">
        <v>107</v>
      </c>
      <c r="G5" s="10" t="s">
        <v>108</v>
      </c>
      <c r="H5" s="10" t="s">
        <v>109</v>
      </c>
      <c r="I5" s="10" t="s">
        <v>110</v>
      </c>
      <c r="J5" s="10" t="s">
        <v>111</v>
      </c>
      <c r="K5" s="10" t="s">
        <v>112</v>
      </c>
      <c r="L5" s="10" t="s">
        <v>113</v>
      </c>
      <c r="M5" s="10" t="s">
        <v>114</v>
      </c>
      <c r="N5" s="10" t="s">
        <v>115</v>
      </c>
      <c r="O5" s="10" t="s">
        <v>116</v>
      </c>
      <c r="P5" s="10" t="s">
        <v>117</v>
      </c>
      <c r="Q5" s="10" t="s">
        <v>118</v>
      </c>
      <c r="R5" s="10" t="s">
        <v>119</v>
      </c>
      <c r="S5" s="10" t="s">
        <v>120</v>
      </c>
      <c r="T5" s="10" t="s">
        <v>121</v>
      </c>
      <c r="U5" s="10" t="s">
        <v>122</v>
      </c>
      <c r="V5" s="10" t="s">
        <v>123</v>
      </c>
    </row>
    <row r="6" customFormat="false" ht="15" hidden="false" customHeight="false" outlineLevel="0" collapsed="false">
      <c r="A6" s="13" t="s">
        <v>124</v>
      </c>
      <c r="B6" s="14" t="s">
        <v>125</v>
      </c>
      <c r="C6" s="24" t="n">
        <v>1</v>
      </c>
      <c r="D6" s="24" t="n">
        <v>2</v>
      </c>
      <c r="E6" s="24" t="n">
        <v>3</v>
      </c>
      <c r="F6" s="24" t="n">
        <v>4</v>
      </c>
      <c r="G6" s="24" t="n">
        <v>5</v>
      </c>
      <c r="H6" s="24" t="n">
        <v>6</v>
      </c>
      <c r="I6" s="24" t="n">
        <v>7</v>
      </c>
      <c r="J6" s="24" t="n">
        <v>8</v>
      </c>
      <c r="K6" s="24" t="n">
        <v>9</v>
      </c>
      <c r="L6" s="24" t="n">
        <v>10</v>
      </c>
      <c r="M6" s="24" t="n">
        <v>11</v>
      </c>
      <c r="N6" s="24" t="n">
        <v>12</v>
      </c>
      <c r="O6" s="24" t="n">
        <v>13</v>
      </c>
      <c r="P6" s="24" t="n">
        <v>14</v>
      </c>
      <c r="Q6" s="24" t="n">
        <v>15</v>
      </c>
      <c r="R6" s="24" t="n">
        <v>16</v>
      </c>
      <c r="S6" s="24" t="n">
        <v>17</v>
      </c>
      <c r="T6" s="24" t="n">
        <v>18</v>
      </c>
      <c r="U6" s="24" t="n">
        <v>19</v>
      </c>
      <c r="V6" s="24" t="n">
        <v>20</v>
      </c>
    </row>
    <row r="8" customFormat="false" ht="15" hidden="false" customHeight="false" outlineLevel="0" collapsed="false">
      <c r="A8" s="11" t="s">
        <v>126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customFormat="false" ht="15" hidden="false" customHeight="false" outlineLevel="0" collapsed="false">
      <c r="A9" s="13" t="s">
        <v>127</v>
      </c>
      <c r="B9" s="14" t="s">
        <v>42</v>
      </c>
      <c r="C9" s="25" t="n">
        <v>0</v>
      </c>
      <c r="D9" s="25" t="n">
        <f aca="false">C12</f>
        <v>60</v>
      </c>
      <c r="E9" s="25" t="n">
        <f aca="false">D12</f>
        <v>165.3</v>
      </c>
      <c r="F9" s="25" t="n">
        <f aca="false">E12</f>
        <v>354.6645</v>
      </c>
      <c r="G9" s="25" t="n">
        <f aca="false">F12</f>
        <v>699.5702625</v>
      </c>
      <c r="H9" s="25" t="n">
        <f aca="false">G12</f>
        <v>1187.9047441275</v>
      </c>
      <c r="I9" s="25" t="n">
        <f aca="false">H12</f>
        <v>1887.53908024043</v>
      </c>
      <c r="J9" s="25" t="n">
        <f aca="false">I12</f>
        <v>2897.63701441128</v>
      </c>
      <c r="K9" s="25" t="n">
        <f aca="false">J12</f>
        <v>4363.15523150148</v>
      </c>
      <c r="L9" s="25" t="n">
        <f aca="false">K12</f>
        <v>6496.05627795683</v>
      </c>
      <c r="M9" s="25" t="n">
        <f aca="false">L12</f>
        <v>8745.11760234065</v>
      </c>
      <c r="N9" s="25" t="n">
        <f aca="false">M12</f>
        <v>11137.4755870367</v>
      </c>
      <c r="O9" s="25" t="n">
        <f aca="false">N12</f>
        <v>13702.4104185167</v>
      </c>
      <c r="P9" s="25" t="n">
        <f aca="false">O12</f>
        <v>16471.7126465498</v>
      </c>
      <c r="Q9" s="25" t="n">
        <f aca="false">P12</f>
        <v>19480.0850122752</v>
      </c>
      <c r="R9" s="25" t="n">
        <f aca="false">Q12</f>
        <v>22765.584698563</v>
      </c>
      <c r="S9" s="25" t="n">
        <f aca="false">R12</f>
        <v>26370.1117082467</v>
      </c>
      <c r="T9" s="25" t="n">
        <f aca="false">S12</f>
        <v>30339.9497022306</v>
      </c>
      <c r="U9" s="25" t="n">
        <f aca="false">T12</f>
        <v>34726.3663385785</v>
      </c>
      <c r="V9" s="25" t="n">
        <f aca="false">U12</f>
        <v>39586.28095502</v>
      </c>
    </row>
    <row r="10" customFormat="false" ht="15" hidden="false" customHeight="false" outlineLevel="0" collapsed="false">
      <c r="A10" s="13" t="s">
        <v>128</v>
      </c>
      <c r="B10" s="14" t="s">
        <v>42</v>
      </c>
      <c r="C10" s="25" t="n">
        <f aca="false">Assumptions!$F$10</f>
        <v>60</v>
      </c>
      <c r="D10" s="25" t="n">
        <f aca="false">C10*(1+Assumptions!$F$11)</f>
        <v>110.7</v>
      </c>
      <c r="E10" s="25" t="n">
        <f aca="false">D10*(1+Assumptions!$F$11)</f>
        <v>204.2415</v>
      </c>
      <c r="F10" s="25" t="n">
        <f aca="false">E10*(1+Assumptions!$F$11)</f>
        <v>376.8255675</v>
      </c>
      <c r="G10" s="25" t="n">
        <f aca="false">F10*(1+Assumptions!$F$12)</f>
        <v>551.2958052525</v>
      </c>
      <c r="H10" s="25" t="n">
        <f aca="false">G10*(1+Assumptions!$F$12)</f>
        <v>806.545763084408</v>
      </c>
      <c r="I10" s="25" t="n">
        <f aca="false">H10*(1+Assumptions!$F$12)</f>
        <v>1179.97645139249</v>
      </c>
      <c r="J10" s="25" t="n">
        <f aca="false">I10*(1+Assumptions!$F$12)</f>
        <v>1726.30554838721</v>
      </c>
      <c r="K10" s="25" t="n">
        <f aca="false">J10*(1+Assumptions!$F$12)</f>
        <v>2525.58501729049</v>
      </c>
      <c r="L10" s="25" t="n">
        <f aca="false">K10*(1+Assumptions!$F$13)</f>
        <v>2833.70638939993</v>
      </c>
      <c r="M10" s="25" t="n">
        <f aca="false">L10*(1+Assumptions!$F$13)</f>
        <v>3179.41856890672</v>
      </c>
      <c r="N10" s="25" t="n">
        <f aca="false">M10*(1+Assumptions!$F$13)</f>
        <v>3567.30763431334</v>
      </c>
      <c r="O10" s="25" t="n">
        <f aca="false">N10*(1+Assumptions!$F$13)</f>
        <v>4002.51916569957</v>
      </c>
      <c r="P10" s="25" t="n">
        <f aca="false">O10*(1+Assumptions!$F$13)</f>
        <v>4490.82650391491</v>
      </c>
      <c r="Q10" s="25" t="n">
        <f aca="false">P10*(1+Assumptions!$F$13)</f>
        <v>5038.70733739253</v>
      </c>
      <c r="R10" s="25" t="n">
        <f aca="false">Q10*(1+Assumptions!$F$13)</f>
        <v>5653.42963255442</v>
      </c>
      <c r="S10" s="25" t="n">
        <f aca="false">R10*(1+Assumptions!$F$13)</f>
        <v>6343.14804772606</v>
      </c>
      <c r="T10" s="25" t="n">
        <f aca="false">S10*(1+Assumptions!$F$13)</f>
        <v>7117.01210954864</v>
      </c>
      <c r="U10" s="25" t="n">
        <f aca="false">T10*(1+Assumptions!$F$13)</f>
        <v>7985.28758691357</v>
      </c>
      <c r="V10" s="25" t="n">
        <f aca="false">U10*(1+Assumptions!$F$13)</f>
        <v>8959.49267251702</v>
      </c>
    </row>
    <row r="11" customFormat="false" ht="15" hidden="false" customHeight="false" outlineLevel="0" collapsed="false">
      <c r="A11" s="13" t="s">
        <v>129</v>
      </c>
      <c r="B11" s="14" t="s">
        <v>42</v>
      </c>
      <c r="C11" s="25" t="n">
        <f aca="false">-C9*Assumptions!$F$14</f>
        <v>-0</v>
      </c>
      <c r="D11" s="25" t="n">
        <f aca="false">-D9*Assumptions!$F$14</f>
        <v>-5.4</v>
      </c>
      <c r="E11" s="25" t="n">
        <f aca="false">-E9*Assumptions!$F$14</f>
        <v>-14.877</v>
      </c>
      <c r="F11" s="25" t="n">
        <f aca="false">-F9*Assumptions!$F$14</f>
        <v>-31.919805</v>
      </c>
      <c r="G11" s="25" t="n">
        <f aca="false">-G9*Assumptions!$F$14</f>
        <v>-62.961323625</v>
      </c>
      <c r="H11" s="25" t="n">
        <f aca="false">-H9*Assumptions!$F$14</f>
        <v>-106.911426971475</v>
      </c>
      <c r="I11" s="25" t="n">
        <f aca="false">-I9*Assumptions!$F$14</f>
        <v>-169.878517221639</v>
      </c>
      <c r="J11" s="25" t="n">
        <f aca="false">-J9*Assumptions!$F$14</f>
        <v>-260.787331297015</v>
      </c>
      <c r="K11" s="25" t="n">
        <f aca="false">-K9*Assumptions!$F$14</f>
        <v>-392.683970835133</v>
      </c>
      <c r="L11" s="25" t="n">
        <f aca="false">-L9*Assumptions!$F$14</f>
        <v>-584.645065016115</v>
      </c>
      <c r="M11" s="25" t="n">
        <f aca="false">-M9*Assumptions!$F$14</f>
        <v>-787.060584210658</v>
      </c>
      <c r="N11" s="25" t="n">
        <f aca="false">-N9*Assumptions!$F$14</f>
        <v>-1002.3728028333</v>
      </c>
      <c r="O11" s="25" t="n">
        <f aca="false">-O9*Assumptions!$F$14</f>
        <v>-1233.21693766651</v>
      </c>
      <c r="P11" s="25" t="n">
        <f aca="false">-P9*Assumptions!$F$14</f>
        <v>-1482.45413818948</v>
      </c>
      <c r="Q11" s="25" t="n">
        <f aca="false">-Q9*Assumptions!$F$14</f>
        <v>-1753.20765110477</v>
      </c>
      <c r="R11" s="25" t="n">
        <f aca="false">-R9*Assumptions!$F$14</f>
        <v>-2048.90262287067</v>
      </c>
      <c r="S11" s="25" t="n">
        <f aca="false">-S9*Assumptions!$F$14</f>
        <v>-2373.31005374221</v>
      </c>
      <c r="T11" s="25" t="n">
        <f aca="false">-T9*Assumptions!$F$14</f>
        <v>-2730.59547320075</v>
      </c>
      <c r="U11" s="25" t="n">
        <f aca="false">-U9*Assumptions!$F$14</f>
        <v>-3125.37297047206</v>
      </c>
      <c r="V11" s="25" t="n">
        <f aca="false">-V9*Assumptions!$F$14</f>
        <v>-3562.7652859518</v>
      </c>
    </row>
    <row r="12" customFormat="false" ht="15" hidden="false" customHeight="false" outlineLevel="0" collapsed="false">
      <c r="A12" s="26" t="s">
        <v>130</v>
      </c>
      <c r="B12" s="14" t="s">
        <v>42</v>
      </c>
      <c r="C12" s="27" t="n">
        <f aca="false">C9+C10+C11</f>
        <v>60</v>
      </c>
      <c r="D12" s="27" t="n">
        <f aca="false">D9+D10+D11</f>
        <v>165.3</v>
      </c>
      <c r="E12" s="27" t="n">
        <f aca="false">E9+E10+E11</f>
        <v>354.6645</v>
      </c>
      <c r="F12" s="27" t="n">
        <f aca="false">F9+F10+F11</f>
        <v>699.5702625</v>
      </c>
      <c r="G12" s="27" t="n">
        <f aca="false">G9+G10+G11</f>
        <v>1187.9047441275</v>
      </c>
      <c r="H12" s="27" t="n">
        <f aca="false">H9+H10+H11</f>
        <v>1887.53908024043</v>
      </c>
      <c r="I12" s="27" t="n">
        <f aca="false">I9+I10+I11</f>
        <v>2897.63701441128</v>
      </c>
      <c r="J12" s="27" t="n">
        <f aca="false">J9+J10+J11</f>
        <v>4363.15523150148</v>
      </c>
      <c r="K12" s="27" t="n">
        <f aca="false">K9+K10+K11</f>
        <v>6496.05627795683</v>
      </c>
      <c r="L12" s="27" t="n">
        <f aca="false">L9+L10+L11</f>
        <v>8745.11760234065</v>
      </c>
      <c r="M12" s="27" t="n">
        <f aca="false">M9+M10+M11</f>
        <v>11137.4755870367</v>
      </c>
      <c r="N12" s="27" t="n">
        <f aca="false">N9+N10+N11</f>
        <v>13702.4104185167</v>
      </c>
      <c r="O12" s="27" t="n">
        <f aca="false">O9+O10+O11</f>
        <v>16471.7126465498</v>
      </c>
      <c r="P12" s="27" t="n">
        <f aca="false">P9+P10+P11</f>
        <v>19480.0850122752</v>
      </c>
      <c r="Q12" s="27" t="n">
        <f aca="false">Q9+Q10+Q11</f>
        <v>22765.584698563</v>
      </c>
      <c r="R12" s="27" t="n">
        <f aca="false">R9+R10+R11</f>
        <v>26370.1117082467</v>
      </c>
      <c r="S12" s="27" t="n">
        <f aca="false">S9+S10+S11</f>
        <v>30339.9497022306</v>
      </c>
      <c r="T12" s="27" t="n">
        <f aca="false">T9+T10+T11</f>
        <v>34726.3663385785</v>
      </c>
      <c r="U12" s="27" t="n">
        <f aca="false">U9+U10+U11</f>
        <v>39586.28095502</v>
      </c>
      <c r="V12" s="27" t="n">
        <f aca="false">V9+V10+V11</f>
        <v>44983.0083415852</v>
      </c>
    </row>
    <row r="13" customFormat="false" ht="15" hidden="false" customHeight="false" outlineLevel="0" collapsed="false">
      <c r="A13" s="13" t="s">
        <v>131</v>
      </c>
      <c r="B13" s="14" t="s">
        <v>42</v>
      </c>
      <c r="C13" s="24" t="n">
        <f aca="false">(C9+C12)/2</f>
        <v>30</v>
      </c>
      <c r="D13" s="24" t="n">
        <f aca="false">(D9+D12)/2</f>
        <v>112.65</v>
      </c>
      <c r="E13" s="24" t="n">
        <f aca="false">(E9+E12)/2</f>
        <v>259.98225</v>
      </c>
      <c r="F13" s="24" t="n">
        <f aca="false">(F9+F12)/2</f>
        <v>527.11738125</v>
      </c>
      <c r="G13" s="24" t="n">
        <f aca="false">(G9+G12)/2</f>
        <v>943.73750331375</v>
      </c>
      <c r="H13" s="24" t="n">
        <f aca="false">(H9+H12)/2</f>
        <v>1537.72191218397</v>
      </c>
      <c r="I13" s="24" t="n">
        <f aca="false">(I9+I12)/2</f>
        <v>2392.58804732586</v>
      </c>
      <c r="J13" s="24" t="n">
        <f aca="false">(J9+J12)/2</f>
        <v>3630.39612295638</v>
      </c>
      <c r="K13" s="24" t="n">
        <f aca="false">(K9+K12)/2</f>
        <v>5429.60575472916</v>
      </c>
      <c r="L13" s="24" t="n">
        <f aca="false">(L9+L12)/2</f>
        <v>7620.58694014874</v>
      </c>
      <c r="M13" s="24" t="n">
        <f aca="false">(M9+M12)/2</f>
        <v>9941.29659468868</v>
      </c>
      <c r="N13" s="24" t="n">
        <f aca="false">(N9+N12)/2</f>
        <v>12419.9430027767</v>
      </c>
      <c r="O13" s="24" t="n">
        <f aca="false">(O9+O12)/2</f>
        <v>15087.0615325333</v>
      </c>
      <c r="P13" s="24" t="n">
        <f aca="false">(P9+P12)/2</f>
        <v>17975.8988294125</v>
      </c>
      <c r="Q13" s="24" t="n">
        <f aca="false">(Q9+Q12)/2</f>
        <v>21122.8348554191</v>
      </c>
      <c r="R13" s="24" t="n">
        <f aca="false">(R9+R12)/2</f>
        <v>24567.8482034049</v>
      </c>
      <c r="S13" s="24" t="n">
        <f aca="false">(S9+S12)/2</f>
        <v>28355.0307052387</v>
      </c>
      <c r="T13" s="24" t="n">
        <f aca="false">(T9+T12)/2</f>
        <v>32533.1580204045</v>
      </c>
      <c r="U13" s="24" t="n">
        <f aca="false">(U9+U12)/2</f>
        <v>37156.3236467992</v>
      </c>
      <c r="V13" s="24" t="n">
        <f aca="false">(V9+V12)/2</f>
        <v>42284.6446483026</v>
      </c>
    </row>
    <row r="15" customFormat="false" ht="15" hidden="false" customHeight="false" outlineLevel="0" collapsed="false">
      <c r="A15" s="11" t="s">
        <v>55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customFormat="false" ht="15" hidden="false" customHeight="false" outlineLevel="0" collapsed="false">
      <c r="A16" s="13" t="s">
        <v>132</v>
      </c>
      <c r="B16" s="14" t="s">
        <v>42</v>
      </c>
      <c r="C16" s="25" t="n">
        <f aca="false">C12*Assumptions!$F$21</f>
        <v>0.6</v>
      </c>
      <c r="D16" s="25" t="n">
        <f aca="false">D12*Assumptions!$F$21</f>
        <v>1.653</v>
      </c>
      <c r="E16" s="25" t="n">
        <f aca="false">E12*Assumptions!$F$21</f>
        <v>3.546645</v>
      </c>
      <c r="F16" s="25" t="n">
        <f aca="false">F12*Assumptions!$F$21</f>
        <v>6.995702625</v>
      </c>
      <c r="G16" s="25" t="n">
        <f aca="false">G12*Assumptions!$F$21</f>
        <v>11.879047441275</v>
      </c>
      <c r="H16" s="25" t="n">
        <f aca="false">H12*Assumptions!$F$21</f>
        <v>18.8753908024043</v>
      </c>
      <c r="I16" s="25" t="n">
        <f aca="false">I12*Assumptions!$F$21</f>
        <v>28.9763701441128</v>
      </c>
      <c r="J16" s="25" t="n">
        <f aca="false">J12*Assumptions!$F$21</f>
        <v>43.6315523150148</v>
      </c>
      <c r="K16" s="25" t="n">
        <f aca="false">K12*Assumptions!$F$21</f>
        <v>64.9605627795684</v>
      </c>
      <c r="L16" s="25" t="n">
        <f aca="false">L12*Assumptions!$F$21</f>
        <v>87.4511760234065</v>
      </c>
      <c r="M16" s="25" t="n">
        <f aca="false">M12*Assumptions!$F$21</f>
        <v>111.374755870367</v>
      </c>
      <c r="N16" s="25" t="n">
        <f aca="false">N12*Assumptions!$F$21</f>
        <v>137.024104185167</v>
      </c>
      <c r="O16" s="25" t="n">
        <f aca="false">O12*Assumptions!$F$21</f>
        <v>164.717126465498</v>
      </c>
      <c r="P16" s="25" t="n">
        <f aca="false">P12*Assumptions!$F$21</f>
        <v>194.800850122752</v>
      </c>
      <c r="Q16" s="25" t="n">
        <f aca="false">Q12*Assumptions!$F$21</f>
        <v>227.65584698563</v>
      </c>
      <c r="R16" s="25" t="n">
        <f aca="false">R12*Assumptions!$F$21</f>
        <v>263.701117082468</v>
      </c>
      <c r="S16" s="25" t="n">
        <f aca="false">S12*Assumptions!$F$21</f>
        <v>303.399497022306</v>
      </c>
      <c r="T16" s="25" t="n">
        <f aca="false">T12*Assumptions!$F$21</f>
        <v>347.263663385785</v>
      </c>
      <c r="U16" s="25" t="n">
        <f aca="false">U12*Assumptions!$F$21</f>
        <v>395.8628095502</v>
      </c>
      <c r="V16" s="25" t="n">
        <f aca="false">V12*Assumptions!$F$21</f>
        <v>449.830083415852</v>
      </c>
    </row>
    <row r="17" customFormat="false" ht="15" hidden="false" customHeight="false" outlineLevel="0" collapsed="false">
      <c r="A17" s="13" t="s">
        <v>133</v>
      </c>
      <c r="B17" s="14" t="s">
        <v>42</v>
      </c>
      <c r="C17" s="25" t="n">
        <f aca="false">0</f>
        <v>0</v>
      </c>
      <c r="D17" s="25" t="n">
        <f aca="false">0</f>
        <v>0</v>
      </c>
      <c r="E17" s="25" t="n">
        <f aca="false">0</f>
        <v>0</v>
      </c>
      <c r="F17" s="25" t="n">
        <f aca="false">0</f>
        <v>0</v>
      </c>
      <c r="G17" s="25" t="n">
        <f aca="false">Assumptions!$F$23</f>
        <v>2</v>
      </c>
      <c r="H17" s="25" t="n">
        <f aca="false">G17*(1+Assumptions!$F$24)</f>
        <v>2.6</v>
      </c>
      <c r="I17" s="25" t="n">
        <f aca="false">H17*(1+Assumptions!$F$24)</f>
        <v>3.38</v>
      </c>
      <c r="J17" s="25" t="n">
        <f aca="false">I17*(1+Assumptions!$F$24)</f>
        <v>4.394</v>
      </c>
      <c r="K17" s="25" t="n">
        <f aca="false">J17*(1+Assumptions!$F$24)</f>
        <v>5.7122</v>
      </c>
      <c r="L17" s="25" t="n">
        <f aca="false">K17*(1+Assumptions!$F$24)</f>
        <v>7.42586</v>
      </c>
      <c r="M17" s="25" t="n">
        <f aca="false">L17*(1+Assumptions!$F$24)</f>
        <v>9.653618</v>
      </c>
      <c r="N17" s="25" t="n">
        <f aca="false">M17*(1+Assumptions!$F$24)</f>
        <v>12.5497034</v>
      </c>
      <c r="O17" s="25" t="n">
        <f aca="false">N17*(1+Assumptions!$F$24)</f>
        <v>16.31461442</v>
      </c>
      <c r="P17" s="25" t="n">
        <f aca="false">O17*(1+Assumptions!$F$24)</f>
        <v>21.208998746</v>
      </c>
      <c r="Q17" s="25" t="n">
        <f aca="false">P17*(1+Assumptions!$F$24)</f>
        <v>27.5716983698</v>
      </c>
      <c r="R17" s="25" t="n">
        <f aca="false">Q17*(1+Assumptions!$F$24)</f>
        <v>35.84320788074</v>
      </c>
      <c r="S17" s="25" t="n">
        <f aca="false">R17*(1+Assumptions!$F$24)</f>
        <v>46.596170244962</v>
      </c>
      <c r="T17" s="25" t="n">
        <f aca="false">S17*(1+Assumptions!$F$24)</f>
        <v>60.5750213184506</v>
      </c>
      <c r="U17" s="25" t="n">
        <f aca="false">T17*(1+Assumptions!$F$24)</f>
        <v>78.7475277139859</v>
      </c>
      <c r="V17" s="25" t="n">
        <f aca="false">U17*(1+Assumptions!$F$24)</f>
        <v>102.371786028182</v>
      </c>
    </row>
    <row r="18" customFormat="false" ht="15" hidden="false" customHeight="false" outlineLevel="0" collapsed="false">
      <c r="A18" s="13" t="s">
        <v>134</v>
      </c>
      <c r="B18" s="14" t="s">
        <v>42</v>
      </c>
      <c r="C18" s="25" t="n">
        <f aca="false">0</f>
        <v>0</v>
      </c>
      <c r="D18" s="25" t="n">
        <f aca="false">0</f>
        <v>0</v>
      </c>
      <c r="E18" s="25" t="n">
        <f aca="false">0</f>
        <v>0</v>
      </c>
      <c r="F18" s="25" t="n">
        <f aca="false">0</f>
        <v>0</v>
      </c>
      <c r="G18" s="25" t="n">
        <f aca="false">0</f>
        <v>0</v>
      </c>
      <c r="H18" s="25" t="n">
        <f aca="false">Assumptions!$F$26</f>
        <v>5</v>
      </c>
      <c r="I18" s="25" t="n">
        <f aca="false">H18*(1+Assumptions!$F$27)</f>
        <v>6.6</v>
      </c>
      <c r="J18" s="25" t="n">
        <f aca="false">I18*(1+Assumptions!$F$27)</f>
        <v>8.712</v>
      </c>
      <c r="K18" s="25" t="n">
        <f aca="false">J18*(1+Assumptions!$F$27)</f>
        <v>11.49984</v>
      </c>
      <c r="L18" s="25" t="n">
        <f aca="false">K18*(1+Assumptions!$F$27)</f>
        <v>15.1797888</v>
      </c>
      <c r="M18" s="25" t="n">
        <f aca="false">L18*(1+Assumptions!$F$27)</f>
        <v>20.037321216</v>
      </c>
      <c r="N18" s="25" t="n">
        <f aca="false">M18*(1+Assumptions!$F$27)</f>
        <v>26.44926400512</v>
      </c>
      <c r="O18" s="25" t="n">
        <f aca="false">N18*(1+Assumptions!$F$27)</f>
        <v>34.9130284867584</v>
      </c>
      <c r="P18" s="25" t="n">
        <f aca="false">O18*(1+Assumptions!$F$27)</f>
        <v>46.0851976025211</v>
      </c>
      <c r="Q18" s="25" t="n">
        <f aca="false">P18*(1+Assumptions!$F$27)</f>
        <v>60.8324608353279</v>
      </c>
      <c r="R18" s="25" t="n">
        <f aca="false">Q18*(1+Assumptions!$F$27)</f>
        <v>80.2988483026328</v>
      </c>
      <c r="S18" s="25" t="n">
        <f aca="false">R18*(1+Assumptions!$F$27)</f>
        <v>105.994479759475</v>
      </c>
      <c r="T18" s="25" t="n">
        <f aca="false">S18*(1+Assumptions!$F$27)</f>
        <v>139.912713282507</v>
      </c>
      <c r="U18" s="25" t="n">
        <f aca="false">T18*(1+Assumptions!$F$27)</f>
        <v>184.68478153291</v>
      </c>
      <c r="V18" s="25" t="n">
        <f aca="false">U18*(1+Assumptions!$F$27)</f>
        <v>243.783911623441</v>
      </c>
    </row>
    <row r="20" customFormat="false" ht="15" hidden="false" customHeight="false" outlineLevel="0" collapsed="false">
      <c r="A20" s="11" t="s">
        <v>135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customFormat="false" ht="15" hidden="false" customHeight="false" outlineLevel="0" collapsed="false">
      <c r="A21" s="13" t="s">
        <v>136</v>
      </c>
      <c r="B21" s="14" t="s">
        <v>42</v>
      </c>
      <c r="C21" s="24" t="n">
        <f aca="false">C12-C9</f>
        <v>60</v>
      </c>
      <c r="D21" s="24" t="n">
        <f aca="false">D12-D9</f>
        <v>105.3</v>
      </c>
      <c r="E21" s="24" t="n">
        <f aca="false">E12-E9</f>
        <v>189.3645</v>
      </c>
      <c r="F21" s="24" t="n">
        <f aca="false">F12-F9</f>
        <v>344.9057625</v>
      </c>
      <c r="G21" s="24" t="n">
        <f aca="false">G12-G9</f>
        <v>488.3344816275</v>
      </c>
      <c r="H21" s="24" t="n">
        <f aca="false">H12-H9</f>
        <v>699.634336112933</v>
      </c>
      <c r="I21" s="24" t="n">
        <f aca="false">I12-I9</f>
        <v>1010.09793417085</v>
      </c>
      <c r="J21" s="24" t="n">
        <f aca="false">J12-J9</f>
        <v>1465.5182170902</v>
      </c>
      <c r="K21" s="24" t="n">
        <f aca="false">K12-K9</f>
        <v>2132.90104645536</v>
      </c>
      <c r="L21" s="24" t="n">
        <f aca="false">L12-L9</f>
        <v>2249.06132438381</v>
      </c>
      <c r="M21" s="24" t="n">
        <f aca="false">M12-M9</f>
        <v>2392.35798469606</v>
      </c>
      <c r="N21" s="24" t="n">
        <f aca="false">N12-N9</f>
        <v>2564.93483148004</v>
      </c>
      <c r="O21" s="24" t="n">
        <f aca="false">O12-O9</f>
        <v>2769.30222803306</v>
      </c>
      <c r="P21" s="24" t="n">
        <f aca="false">P12-P9</f>
        <v>3008.37236572543</v>
      </c>
      <c r="Q21" s="24" t="n">
        <f aca="false">Q12-Q9</f>
        <v>3285.49968628776</v>
      </c>
      <c r="R21" s="24" t="n">
        <f aca="false">R12-R9</f>
        <v>3604.52700968375</v>
      </c>
      <c r="S21" s="24" t="n">
        <f aca="false">S12-S9</f>
        <v>3969.83799398385</v>
      </c>
      <c r="T21" s="24" t="n">
        <f aca="false">T12-T9</f>
        <v>4386.41663634788</v>
      </c>
      <c r="U21" s="24" t="n">
        <f aca="false">U12-U9</f>
        <v>4859.91461644151</v>
      </c>
      <c r="V21" s="24" t="n">
        <f aca="false">V12-V9</f>
        <v>5396.72738656522</v>
      </c>
    </row>
    <row r="22" customFormat="false" ht="15" hidden="false" customHeight="false" outlineLevel="0" collapsed="false">
      <c r="A22" s="13" t="s">
        <v>137</v>
      </c>
      <c r="B22" s="14" t="s">
        <v>44</v>
      </c>
      <c r="C22" s="28" t="str">
        <f aca="false">IF(C9=0,"-",1+C11/C9)</f>
        <v>-</v>
      </c>
      <c r="D22" s="28" t="n">
        <f aca="false">IF(D9=0,"-",1+D11/D9)</f>
        <v>0.91</v>
      </c>
      <c r="E22" s="28" t="n">
        <f aca="false">IF(E9=0,"-",1+E11/E9)</f>
        <v>0.91</v>
      </c>
      <c r="F22" s="28" t="n">
        <f aca="false">IF(F9=0,"-",1+F11/F9)</f>
        <v>0.91</v>
      </c>
      <c r="G22" s="28" t="n">
        <f aca="false">IF(G9=0,"-",1+G11/G9)</f>
        <v>0.91</v>
      </c>
      <c r="H22" s="28" t="n">
        <f aca="false">IF(H9=0,"-",1+H11/H9)</f>
        <v>0.91</v>
      </c>
      <c r="I22" s="28" t="n">
        <f aca="false">IF(I9=0,"-",1+I11/I9)</f>
        <v>0.91</v>
      </c>
      <c r="J22" s="28" t="n">
        <f aca="false">IF(J9=0,"-",1+J11/J9)</f>
        <v>0.91</v>
      </c>
      <c r="K22" s="28" t="n">
        <f aca="false">IF(K9=0,"-",1+K11/K9)</f>
        <v>0.91</v>
      </c>
      <c r="L22" s="28" t="n">
        <f aca="false">IF(L9=0,"-",1+L11/L9)</f>
        <v>0.91</v>
      </c>
      <c r="M22" s="28" t="n">
        <f aca="false">IF(M9=0,"-",1+M11/M9)</f>
        <v>0.91</v>
      </c>
      <c r="N22" s="28" t="n">
        <f aca="false">IF(N9=0,"-",1+N11/N9)</f>
        <v>0.91</v>
      </c>
      <c r="O22" s="28" t="n">
        <f aca="false">IF(O9=0,"-",1+O11/O9)</f>
        <v>0.91</v>
      </c>
      <c r="P22" s="28" t="n">
        <f aca="false">IF(P9=0,"-",1+P11/P9)</f>
        <v>0.91</v>
      </c>
      <c r="Q22" s="28" t="n">
        <f aca="false">IF(Q9=0,"-",1+Q11/Q9)</f>
        <v>0.91</v>
      </c>
      <c r="R22" s="28" t="n">
        <f aca="false">IF(R9=0,"-",1+R11/R9)</f>
        <v>0.91</v>
      </c>
      <c r="S22" s="28" t="n">
        <f aca="false">IF(S9=0,"-",1+S11/S9)</f>
        <v>0.91</v>
      </c>
      <c r="T22" s="28" t="n">
        <f aca="false">IF(T9=0,"-",1+T11/T9)</f>
        <v>0.91</v>
      </c>
      <c r="U22" s="28" t="n">
        <f aca="false">IF(U9=0,"-",1+U11/U9)</f>
        <v>0.91</v>
      </c>
      <c r="V22" s="28" t="n">
        <f aca="false">IF(V9=0,"-",1+V11/V9)</f>
        <v>0.91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2" min="2" style="0" width="11"/>
  </cols>
  <sheetData>
    <row r="1" customFormat="false" ht="18.55" hidden="false" customHeight="false" outlineLevel="0" collapsed="false">
      <c r="A1" s="5" t="s">
        <v>138</v>
      </c>
    </row>
    <row r="2" customFormat="false" ht="15" hidden="false" customHeight="false" outlineLevel="0" collapsed="false">
      <c r="A2" s="6" t="s">
        <v>139</v>
      </c>
    </row>
    <row r="5" customFormat="false" ht="15" hidden="false" customHeight="false" outlineLevel="0" collapsed="false">
      <c r="A5" s="23"/>
      <c r="B5" s="10" t="s">
        <v>35</v>
      </c>
      <c r="C5" s="10" t="s">
        <v>104</v>
      </c>
      <c r="D5" s="10" t="s">
        <v>105</v>
      </c>
      <c r="E5" s="10" t="s">
        <v>106</v>
      </c>
      <c r="F5" s="10" t="s">
        <v>107</v>
      </c>
      <c r="G5" s="10" t="s">
        <v>108</v>
      </c>
      <c r="H5" s="10" t="s">
        <v>109</v>
      </c>
      <c r="I5" s="10" t="s">
        <v>110</v>
      </c>
      <c r="J5" s="10" t="s">
        <v>111</v>
      </c>
      <c r="K5" s="10" t="s">
        <v>112</v>
      </c>
      <c r="L5" s="10" t="s">
        <v>113</v>
      </c>
      <c r="M5" s="10" t="s">
        <v>114</v>
      </c>
      <c r="N5" s="10" t="s">
        <v>115</v>
      </c>
      <c r="O5" s="10" t="s">
        <v>116</v>
      </c>
      <c r="P5" s="10" t="s">
        <v>117</v>
      </c>
      <c r="Q5" s="10" t="s">
        <v>118</v>
      </c>
      <c r="R5" s="10" t="s">
        <v>119</v>
      </c>
      <c r="S5" s="10" t="s">
        <v>120</v>
      </c>
      <c r="T5" s="10" t="s">
        <v>121</v>
      </c>
      <c r="U5" s="10" t="s">
        <v>122</v>
      </c>
      <c r="V5" s="10" t="s">
        <v>123</v>
      </c>
    </row>
    <row r="6" customFormat="false" ht="15" hidden="false" customHeight="false" outlineLevel="0" collapsed="false">
      <c r="A6" s="13" t="s">
        <v>140</v>
      </c>
      <c r="B6" s="14" t="s">
        <v>54</v>
      </c>
      <c r="C6" s="29" t="n">
        <f aca="false">1+(Assumptions!$F$19-1)*(0/19)</f>
        <v>1</v>
      </c>
      <c r="D6" s="29" t="n">
        <f aca="false">1+(Assumptions!$F$19-1)*(1/19)</f>
        <v>1.07368421052632</v>
      </c>
      <c r="E6" s="29" t="n">
        <f aca="false">1+(Assumptions!$F$19-1)*(2/19)</f>
        <v>1.14736842105263</v>
      </c>
      <c r="F6" s="29" t="n">
        <f aca="false">1+(Assumptions!$F$19-1)*(3/19)</f>
        <v>1.22105263157895</v>
      </c>
      <c r="G6" s="29" t="n">
        <f aca="false">1+(Assumptions!$F$19-1)*(4/19)</f>
        <v>1.29473684210526</v>
      </c>
      <c r="H6" s="29" t="n">
        <f aca="false">1+(Assumptions!$F$19-1)*(5/19)</f>
        <v>1.36842105263158</v>
      </c>
      <c r="I6" s="29" t="n">
        <f aca="false">1+(Assumptions!$F$19-1)*(6/19)</f>
        <v>1.44210526315789</v>
      </c>
      <c r="J6" s="29" t="n">
        <f aca="false">1+(Assumptions!$F$19-1)*(7/19)</f>
        <v>1.51578947368421</v>
      </c>
      <c r="K6" s="29" t="n">
        <f aca="false">1+(Assumptions!$F$19-1)*(8/19)</f>
        <v>1.58947368421053</v>
      </c>
      <c r="L6" s="29" t="n">
        <f aca="false">1+(Assumptions!$F$19-1)*(9/19)</f>
        <v>1.66315789473684</v>
      </c>
      <c r="M6" s="29" t="n">
        <f aca="false">1+(Assumptions!$F$19-1)*(10/19)</f>
        <v>1.73684210526316</v>
      </c>
      <c r="N6" s="29" t="n">
        <f aca="false">1+(Assumptions!$F$19-1)*(11/19)</f>
        <v>1.81052631578947</v>
      </c>
      <c r="O6" s="29" t="n">
        <f aca="false">1+(Assumptions!$F$19-1)*(12/19)</f>
        <v>1.88421052631579</v>
      </c>
      <c r="P6" s="29" t="n">
        <f aca="false">1+(Assumptions!$F$19-1)*(13/19)</f>
        <v>1.95789473684211</v>
      </c>
      <c r="Q6" s="29" t="n">
        <f aca="false">1+(Assumptions!$F$19-1)*(14/19)</f>
        <v>2.03157894736842</v>
      </c>
      <c r="R6" s="29" t="n">
        <f aca="false">1+(Assumptions!$F$19-1)*(15/19)</f>
        <v>2.10526315789474</v>
      </c>
      <c r="S6" s="29" t="n">
        <f aca="false">1+(Assumptions!$F$19-1)*(16/19)</f>
        <v>2.17894736842105</v>
      </c>
      <c r="T6" s="29" t="n">
        <f aca="false">1+(Assumptions!$F$19-1)*(17/19)</f>
        <v>2.25263157894737</v>
      </c>
      <c r="U6" s="29" t="n">
        <f aca="false">1+(Assumptions!$F$19-1)*(18/19)</f>
        <v>2.32631578947368</v>
      </c>
      <c r="V6" s="29" t="n">
        <f aca="false">1+(Assumptions!$F$19-1)*(19/19)</f>
        <v>2.4</v>
      </c>
    </row>
    <row r="7" customFormat="false" ht="15" hidden="false" customHeight="false" outlineLevel="0" collapsed="false">
      <c r="A7" s="11" t="s">
        <v>141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customFormat="false" ht="15" hidden="false" customHeight="false" outlineLevel="0" collapsed="false">
      <c r="A8" s="13" t="s">
        <v>142</v>
      </c>
      <c r="B8" s="14" t="s">
        <v>51</v>
      </c>
      <c r="C8" s="30" t="n">
        <f aca="false">Assumptions!$F$17*C6</f>
        <v>1800</v>
      </c>
      <c r="D8" s="30" t="n">
        <f aca="false">C8/C6*(1+Assumptions!$F$18)*D6</f>
        <v>2029.26315789474</v>
      </c>
      <c r="E8" s="30" t="n">
        <f aca="false">D8/D6*(1+Assumptions!$F$18)*E6</f>
        <v>2276.95263157895</v>
      </c>
      <c r="F8" s="30" t="n">
        <f aca="false">E8/E6*(1+Assumptions!$F$18)*F6</f>
        <v>2544.33789473684</v>
      </c>
      <c r="G8" s="30" t="n">
        <f aca="false">F8/F6*(1+Assumptions!$F$18)*G6</f>
        <v>2832.76930263158</v>
      </c>
      <c r="H8" s="30" t="n">
        <f aca="false">G8/G6*(1+Assumptions!$F$18)*H6</f>
        <v>3143.68300657895</v>
      </c>
      <c r="I8" s="30" t="n">
        <f aca="false">H8/H6*(1+Assumptions!$F$18)*I6</f>
        <v>3478.60615766448</v>
      </c>
      <c r="J8" s="30" t="n">
        <f aca="false">I8/I6*(1+Assumptions!$F$18)*J6</f>
        <v>3839.16241634211</v>
      </c>
      <c r="K8" s="30" t="n">
        <f aca="false">J8/J6*(1+Assumptions!$F$18)*K6</f>
        <v>4227.07778549334</v>
      </c>
      <c r="L8" s="30" t="n">
        <f aca="false">K8/K6*(1+Assumptions!$F$18)*L6</f>
        <v>4644.18678551884</v>
      </c>
      <c r="M8" s="30" t="n">
        <f aca="false">L8/L6*(1+Assumptions!$F$18)*M6</f>
        <v>5092.43899108316</v>
      </c>
      <c r="N8" s="30" t="n">
        <f aca="false">M8/M6*(1+Assumptions!$F$18)*N6</f>
        <v>5573.90595024011</v>
      </c>
      <c r="O8" s="30" t="n">
        <f aca="false">N8/N6*(1+Assumptions!$F$18)*O6</f>
        <v>6090.78850783506</v>
      </c>
      <c r="P8" s="30" t="n">
        <f aca="false">O8/O6*(1+Assumptions!$F$18)*P6</f>
        <v>6645.42455631389</v>
      </c>
      <c r="Q8" s="30" t="n">
        <f aca="false">P8/P6*(1+Assumptions!$F$18)*Q6</f>
        <v>7240.29723837102</v>
      </c>
      <c r="R8" s="30" t="n">
        <f aca="false">Q8/Q6*(1+Assumptions!$F$18)*R6</f>
        <v>7878.04362724308</v>
      </c>
      <c r="S8" s="30" t="n">
        <f aca="false">R8/R6*(1+Assumptions!$F$18)*S6</f>
        <v>8561.46391190642</v>
      </c>
      <c r="T8" s="30" t="n">
        <f aca="false">S8/S6*(1+Assumptions!$F$18)*T6</f>
        <v>9293.53111596798</v>
      </c>
      <c r="U8" s="30" t="n">
        <f aca="false">T8/T6*(1+Assumptions!$F$18)*U6</f>
        <v>10077.4013806559</v>
      </c>
      <c r="V8" s="30" t="n">
        <f aca="false">U8/U6*(1+Assumptions!$F$18)*V6</f>
        <v>10916.4248440228</v>
      </c>
    </row>
    <row r="9" customFormat="false" ht="15" hidden="false" customHeight="false" outlineLevel="0" collapsed="false">
      <c r="A9" s="13" t="s">
        <v>143</v>
      </c>
      <c r="B9" s="14" t="s">
        <v>51</v>
      </c>
      <c r="C9" s="31" t="n">
        <f aca="false">Customers!C10*C8</f>
        <v>108000</v>
      </c>
      <c r="D9" s="31" t="n">
        <f aca="false">C9*Assumptions!$F$16+Customers!D10*D8</f>
        <v>341279.431578947</v>
      </c>
      <c r="E9" s="31" t="n">
        <f aca="false">D9*Assumptions!$F$16+Customers!E10*E8</f>
        <v>833630.007007895</v>
      </c>
      <c r="F9" s="31" t="n">
        <f aca="false">E9*Assumptions!$F$16+Customers!F10*F8</f>
        <v>1859091.97866449</v>
      </c>
      <c r="G9" s="31" t="n">
        <f aca="false">F9*Assumptions!$F$16+Customers!G10*G8</f>
        <v>3569513.17074649</v>
      </c>
      <c r="H9" s="31" t="n">
        <f aca="false">G9*Assumptions!$F$16+Customers!H10*H8</f>
        <v>6390598.43384291</v>
      </c>
      <c r="I9" s="31" t="n">
        <f aca="false">H9*Assumptions!$F$16+Customers!I10*I8</f>
        <v>11006519.6582633</v>
      </c>
      <c r="J9" s="31" t="n">
        <f aca="false">I9*Assumptions!$F$16+Customers!J10*J8</f>
        <v>18514608.6114154</v>
      </c>
      <c r="K9" s="31" t="n">
        <f aca="false">J9*Assumptions!$F$16+Customers!K10*K8</f>
        <v>30671621.6222921</v>
      </c>
      <c r="L9" s="31" t="n">
        <f aca="false">K9*Assumptions!$F$16+Customers!L10*L8</f>
        <v>46285613.1197669</v>
      </c>
      <c r="M9" s="31" t="n">
        <f aca="false">L9*Assumptions!$F$16+Customers!M10*M8</f>
        <v>66179457.2586227</v>
      </c>
      <c r="N9" s="31" t="n">
        <f aca="false">M9*Assumptions!$F$16+Customers!N10*N8</f>
        <v>91357651.0885486</v>
      </c>
      <c r="O9" s="31" t="n">
        <f aca="false">N9*Assumptions!$F$16+Customers!O10*O8</f>
        <v>123044760.912465</v>
      </c>
      <c r="P9" s="31" t="n">
        <f aca="false">O9*Assumptions!$F$16+Customers!P10*P8</f>
        <v>162731790.512724</v>
      </c>
      <c r="Q9" s="31" t="n">
        <f aca="false">P9*Assumptions!$F$16+Customers!Q10*Q8</f>
        <v>212232072.573625</v>
      </c>
      <c r="R9" s="31" t="n">
        <f aca="false">Q9*Assumptions!$F$16+Customers!R10*R8</f>
        <v>273748603.668327</v>
      </c>
      <c r="S9" s="31" t="n">
        <f aca="false">R9*Assumptions!$F$16+Customers!S10*S8</f>
        <v>349955125.060279</v>
      </c>
      <c r="T9" s="31" t="n">
        <f aca="false">S9*Assumptions!$F$16+Customers!T10*T8</f>
        <v>444093708.557913</v>
      </c>
      <c r="U9" s="31" t="n">
        <f aca="false">T9*Assumptions!$F$16+Customers!U10*U8</f>
        <v>560092153.395844</v>
      </c>
      <c r="V9" s="31" t="n">
        <f aca="false">U9*Assumptions!$F$16+Customers!V10*V8</f>
        <v>702705154.067616</v>
      </c>
    </row>
    <row r="10" customFormat="false" ht="15" hidden="false" customHeight="false" outlineLevel="0" collapsed="false">
      <c r="A10" s="13" t="s">
        <v>144</v>
      </c>
      <c r="B10" s="14" t="s">
        <v>51</v>
      </c>
      <c r="C10" s="31" t="n">
        <f aca="false">Customers!C16*Assumptions!$F$22</f>
        <v>20400</v>
      </c>
      <c r="D10" s="31" t="n">
        <f aca="false">Customers!D16*Assumptions!$F$22</f>
        <v>56202</v>
      </c>
      <c r="E10" s="31" t="n">
        <f aca="false">Customers!E16*Assumptions!$F$22</f>
        <v>120585.93</v>
      </c>
      <c r="F10" s="31" t="n">
        <f aca="false">Customers!F16*Assumptions!$F$22</f>
        <v>237853.88925</v>
      </c>
      <c r="G10" s="31" t="n">
        <f aca="false">Customers!G16*Assumptions!$F$22</f>
        <v>403887.61300335</v>
      </c>
      <c r="H10" s="31" t="n">
        <f aca="false">Customers!H16*Assumptions!$F$22</f>
        <v>641763.287281747</v>
      </c>
      <c r="I10" s="31" t="n">
        <f aca="false">Customers!I16*Assumptions!$F$22</f>
        <v>985196.584899836</v>
      </c>
      <c r="J10" s="31" t="n">
        <f aca="false">Customers!J16*Assumptions!$F$22</f>
        <v>1483472.7787105</v>
      </c>
      <c r="K10" s="31" t="n">
        <f aca="false">Customers!K16*Assumptions!$F$22</f>
        <v>2208659.13450532</v>
      </c>
      <c r="L10" s="31" t="n">
        <f aca="false">Customers!L16*Assumptions!$F$22</f>
        <v>2973339.98479582</v>
      </c>
      <c r="M10" s="31" t="n">
        <f aca="false">Customers!M16*Assumptions!$F$22</f>
        <v>3786741.69959248</v>
      </c>
      <c r="N10" s="31" t="n">
        <f aca="false">Customers!N16*Assumptions!$F$22</f>
        <v>4658819.54229569</v>
      </c>
      <c r="O10" s="31" t="n">
        <f aca="false">Customers!O16*Assumptions!$F$22</f>
        <v>5600382.29982693</v>
      </c>
      <c r="P10" s="31" t="n">
        <f aca="false">Customers!P16*Assumptions!$F$22</f>
        <v>6623228.90417358</v>
      </c>
      <c r="Q10" s="31" t="n">
        <f aca="false">Customers!Q16*Assumptions!$F$22</f>
        <v>7740298.79751142</v>
      </c>
      <c r="R10" s="31" t="n">
        <f aca="false">Customers!R16*Assumptions!$F$22</f>
        <v>8965837.98080389</v>
      </c>
      <c r="S10" s="31" t="n">
        <f aca="false">Customers!S16*Assumptions!$F$22</f>
        <v>10315582.8987584</v>
      </c>
      <c r="T10" s="31" t="n">
        <f aca="false">Customers!T16*Assumptions!$F$22</f>
        <v>11806964.5551167</v>
      </c>
      <c r="U10" s="31" t="n">
        <f aca="false">Customers!U16*Assumptions!$F$22</f>
        <v>13459335.5247068</v>
      </c>
      <c r="V10" s="31" t="n">
        <f aca="false">Customers!V16*Assumptions!$F$22</f>
        <v>15294222.836139</v>
      </c>
    </row>
    <row r="11" customFormat="false" ht="15" hidden="false" customHeight="false" outlineLevel="0" collapsed="false">
      <c r="A11" s="13" t="s">
        <v>145</v>
      </c>
      <c r="B11" s="14" t="s">
        <v>51</v>
      </c>
      <c r="C11" s="31" t="n">
        <f aca="false">Customers!C17*Assumptions!$F$25</f>
        <v>0</v>
      </c>
      <c r="D11" s="31" t="n">
        <f aca="false">Customers!D17*Assumptions!$F$25</f>
        <v>0</v>
      </c>
      <c r="E11" s="31" t="n">
        <f aca="false">Customers!E17*Assumptions!$F$25</f>
        <v>0</v>
      </c>
      <c r="F11" s="31" t="n">
        <f aca="false">Customers!F17*Assumptions!$F$25</f>
        <v>0</v>
      </c>
      <c r="G11" s="31" t="n">
        <f aca="false">Customers!G17*Assumptions!$F$25</f>
        <v>300000</v>
      </c>
      <c r="H11" s="31" t="n">
        <f aca="false">Customers!H17*Assumptions!$F$25</f>
        <v>390000</v>
      </c>
      <c r="I11" s="31" t="n">
        <f aca="false">Customers!I17*Assumptions!$F$25</f>
        <v>507000</v>
      </c>
      <c r="J11" s="31" t="n">
        <f aca="false">Customers!J17*Assumptions!$F$25</f>
        <v>659100</v>
      </c>
      <c r="K11" s="31" t="n">
        <f aca="false">Customers!K17*Assumptions!$F$25</f>
        <v>856830</v>
      </c>
      <c r="L11" s="31" t="n">
        <f aca="false">Customers!L17*Assumptions!$F$25</f>
        <v>1113879</v>
      </c>
      <c r="M11" s="31" t="n">
        <f aca="false">Customers!M17*Assumptions!$F$25</f>
        <v>1448042.7</v>
      </c>
      <c r="N11" s="31" t="n">
        <f aca="false">Customers!N17*Assumptions!$F$25</f>
        <v>1882455.51</v>
      </c>
      <c r="O11" s="31" t="n">
        <f aca="false">Customers!O17*Assumptions!$F$25</f>
        <v>2447192.163</v>
      </c>
      <c r="P11" s="31" t="n">
        <f aca="false">Customers!P17*Assumptions!$F$25</f>
        <v>3181349.8119</v>
      </c>
      <c r="Q11" s="31" t="n">
        <f aca="false">Customers!Q17*Assumptions!$F$25</f>
        <v>4135754.75547</v>
      </c>
      <c r="R11" s="31" t="n">
        <f aca="false">Customers!R17*Assumptions!$F$25</f>
        <v>5376481.182111</v>
      </c>
      <c r="S11" s="31" t="n">
        <f aca="false">Customers!S17*Assumptions!$F$25</f>
        <v>6989425.53674431</v>
      </c>
      <c r="T11" s="31" t="n">
        <f aca="false">Customers!T17*Assumptions!$F$25</f>
        <v>9086253.1977676</v>
      </c>
      <c r="U11" s="31" t="n">
        <f aca="false">Customers!U17*Assumptions!$F$25</f>
        <v>11812129.1570979</v>
      </c>
      <c r="V11" s="31" t="n">
        <f aca="false">Customers!V17*Assumptions!$F$25</f>
        <v>15355767.9042272</v>
      </c>
    </row>
    <row r="12" customFormat="false" ht="15" hidden="false" customHeight="false" outlineLevel="0" collapsed="false">
      <c r="A12" s="13" t="s">
        <v>146</v>
      </c>
      <c r="B12" s="14" t="s">
        <v>51</v>
      </c>
      <c r="C12" s="31" t="n">
        <f aca="false">Customers!C18*Assumptions!$F$28</f>
        <v>0</v>
      </c>
      <c r="D12" s="31" t="n">
        <f aca="false">Customers!D18*Assumptions!$F$28</f>
        <v>0</v>
      </c>
      <c r="E12" s="31" t="n">
        <f aca="false">Customers!E18*Assumptions!$F$28</f>
        <v>0</v>
      </c>
      <c r="F12" s="31" t="n">
        <f aca="false">Customers!F18*Assumptions!$F$28</f>
        <v>0</v>
      </c>
      <c r="G12" s="31" t="n">
        <f aca="false">Customers!G18*Assumptions!$F$28</f>
        <v>0</v>
      </c>
      <c r="H12" s="31" t="n">
        <f aca="false">Customers!H18*Assumptions!$F$28</f>
        <v>300000</v>
      </c>
      <c r="I12" s="31" t="n">
        <f aca="false">Customers!I18*Assumptions!$F$28</f>
        <v>396000</v>
      </c>
      <c r="J12" s="31" t="n">
        <f aca="false">Customers!J18*Assumptions!$F$28</f>
        <v>522720</v>
      </c>
      <c r="K12" s="31" t="n">
        <f aca="false">Customers!K18*Assumptions!$F$28</f>
        <v>689990.4</v>
      </c>
      <c r="L12" s="31" t="n">
        <f aca="false">Customers!L18*Assumptions!$F$28</f>
        <v>910787.328</v>
      </c>
      <c r="M12" s="31" t="n">
        <f aca="false">Customers!M18*Assumptions!$F$28</f>
        <v>1202239.27296</v>
      </c>
      <c r="N12" s="31" t="n">
        <f aca="false">Customers!N18*Assumptions!$F$28</f>
        <v>1586955.8403072</v>
      </c>
      <c r="O12" s="31" t="n">
        <f aca="false">Customers!O18*Assumptions!$F$28</f>
        <v>2094781.7092055</v>
      </c>
      <c r="P12" s="31" t="n">
        <f aca="false">Customers!P18*Assumptions!$F$28</f>
        <v>2765111.85615127</v>
      </c>
      <c r="Q12" s="31" t="n">
        <f aca="false">Customers!Q18*Assumptions!$F$28</f>
        <v>3649947.65011967</v>
      </c>
      <c r="R12" s="31" t="n">
        <f aca="false">Customers!R18*Assumptions!$F$28</f>
        <v>4817930.89815797</v>
      </c>
      <c r="S12" s="31" t="n">
        <f aca="false">Customers!S18*Assumptions!$F$28</f>
        <v>6359668.78556852</v>
      </c>
      <c r="T12" s="31" t="n">
        <f aca="false">Customers!T18*Assumptions!$F$28</f>
        <v>8394762.79695044</v>
      </c>
      <c r="U12" s="31" t="n">
        <f aca="false">Customers!U18*Assumptions!$F$28</f>
        <v>11081086.8919746</v>
      </c>
      <c r="V12" s="31" t="n">
        <f aca="false">Customers!V18*Assumptions!$F$28</f>
        <v>14627034.6974065</v>
      </c>
    </row>
    <row r="13" customFormat="false" ht="15" hidden="false" customHeight="false" outlineLevel="0" collapsed="false">
      <c r="A13" s="26" t="s">
        <v>147</v>
      </c>
      <c r="B13" s="14" t="s">
        <v>51</v>
      </c>
      <c r="C13" s="32" t="n">
        <f aca="false">SUM(C9:C12)</f>
        <v>128400</v>
      </c>
      <c r="D13" s="32" t="n">
        <f aca="false">SUM(D9:D12)</f>
        <v>397481.431578947</v>
      </c>
      <c r="E13" s="32" t="n">
        <f aca="false">SUM(E9:E12)</f>
        <v>954215.937007895</v>
      </c>
      <c r="F13" s="32" t="n">
        <f aca="false">SUM(F9:F12)</f>
        <v>2096945.86791449</v>
      </c>
      <c r="G13" s="32" t="n">
        <f aca="false">SUM(G9:G12)</f>
        <v>4273400.78374984</v>
      </c>
      <c r="H13" s="32" t="n">
        <f aca="false">SUM(H9:H12)</f>
        <v>7722361.72112466</v>
      </c>
      <c r="I13" s="32" t="n">
        <f aca="false">SUM(I9:I12)</f>
        <v>12894716.2431632</v>
      </c>
      <c r="J13" s="32" t="n">
        <f aca="false">SUM(J9:J12)</f>
        <v>21179901.3901259</v>
      </c>
      <c r="K13" s="32" t="n">
        <f aca="false">SUM(K9:K12)</f>
        <v>34427101.1567974</v>
      </c>
      <c r="L13" s="32" t="n">
        <f aca="false">SUM(L9:L12)</f>
        <v>51283619.4325628</v>
      </c>
      <c r="M13" s="32" t="n">
        <f aca="false">SUM(M9:M12)</f>
        <v>72616480.9311752</v>
      </c>
      <c r="N13" s="32" t="n">
        <f aca="false">SUM(N9:N12)</f>
        <v>99485881.9811515</v>
      </c>
      <c r="O13" s="32" t="n">
        <f aca="false">SUM(O9:O12)</f>
        <v>133187117.084497</v>
      </c>
      <c r="P13" s="32" t="n">
        <f aca="false">SUM(P9:P12)</f>
        <v>175301481.084948</v>
      </c>
      <c r="Q13" s="32" t="n">
        <f aca="false">SUM(Q9:Q12)</f>
        <v>227758073.776726</v>
      </c>
      <c r="R13" s="32" t="n">
        <f aca="false">SUM(R9:R12)</f>
        <v>292908853.7294</v>
      </c>
      <c r="S13" s="32" t="n">
        <f aca="false">SUM(S9:S12)</f>
        <v>373619802.281351</v>
      </c>
      <c r="T13" s="32" t="n">
        <f aca="false">SUM(T9:T12)</f>
        <v>473381689.107748</v>
      </c>
      <c r="U13" s="32" t="n">
        <f aca="false">SUM(U9:U12)</f>
        <v>596444704.969623</v>
      </c>
      <c r="V13" s="32" t="n">
        <f aca="false">SUM(V9:V12)</f>
        <v>747982179.505388</v>
      </c>
    </row>
    <row r="15" customFormat="false" ht="15" hidden="false" customHeight="false" outlineLevel="0" collapsed="false">
      <c r="A15" s="11" t="s">
        <v>148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customFormat="false" ht="15" hidden="false" customHeight="false" outlineLevel="0" collapsed="false">
      <c r="A16" s="13" t="s">
        <v>149</v>
      </c>
      <c r="B16" s="14" t="s">
        <v>51</v>
      </c>
      <c r="C16" s="31" t="n">
        <f aca="false">C13*Assumptions!$F$30</f>
        <v>15408</v>
      </c>
      <c r="D16" s="31" t="n">
        <f aca="false">D13*Assumptions!$F$30</f>
        <v>47697.7717894737</v>
      </c>
      <c r="E16" s="31" t="n">
        <f aca="false">E13*Assumptions!$F$30</f>
        <v>114505.912440947</v>
      </c>
      <c r="F16" s="31" t="n">
        <f aca="false">F13*Assumptions!$F$30</f>
        <v>251633.504149739</v>
      </c>
      <c r="G16" s="31" t="n">
        <f aca="false">G13*Assumptions!$F$30</f>
        <v>512808.094049981</v>
      </c>
      <c r="H16" s="31" t="n">
        <f aca="false">H13*Assumptions!$F$30</f>
        <v>926683.406534959</v>
      </c>
      <c r="I16" s="31" t="n">
        <f aca="false">I13*Assumptions!$F$30</f>
        <v>1547365.94917958</v>
      </c>
      <c r="J16" s="31" t="n">
        <f aca="false">J13*Assumptions!$F$30</f>
        <v>2541588.16681511</v>
      </c>
      <c r="K16" s="31" t="n">
        <f aca="false">K13*Assumptions!$F$30</f>
        <v>4131252.13881569</v>
      </c>
      <c r="L16" s="31" t="n">
        <f aca="false">L13*Assumptions!$F$30</f>
        <v>6154034.33190753</v>
      </c>
      <c r="M16" s="31" t="n">
        <f aca="false">M13*Assumptions!$F$30</f>
        <v>8713977.71174102</v>
      </c>
      <c r="N16" s="31" t="n">
        <f aca="false">N13*Assumptions!$F$30</f>
        <v>11938305.8377382</v>
      </c>
      <c r="O16" s="31" t="n">
        <f aca="false">O13*Assumptions!$F$30</f>
        <v>15982454.0501397</v>
      </c>
      <c r="P16" s="31" t="n">
        <f aca="false">P13*Assumptions!$F$30</f>
        <v>21036177.7301938</v>
      </c>
      <c r="Q16" s="31" t="n">
        <f aca="false">Q13*Assumptions!$F$30</f>
        <v>27330968.8532071</v>
      </c>
      <c r="R16" s="31" t="n">
        <f aca="false">R13*Assumptions!$F$30</f>
        <v>35149062.447528</v>
      </c>
      <c r="S16" s="31" t="n">
        <f aca="false">S13*Assumptions!$F$30</f>
        <v>44834376.2737621</v>
      </c>
      <c r="T16" s="31" t="n">
        <f aca="false">T13*Assumptions!$F$30</f>
        <v>56805802.6929297</v>
      </c>
      <c r="U16" s="31" t="n">
        <f aca="false">U13*Assumptions!$F$30</f>
        <v>71573364.5963547</v>
      </c>
      <c r="V16" s="31" t="n">
        <f aca="false">V13*Assumptions!$F$30</f>
        <v>89757861.5406466</v>
      </c>
    </row>
    <row r="17" customFormat="false" ht="15" hidden="false" customHeight="false" outlineLevel="0" collapsed="false">
      <c r="A17" s="13" t="s">
        <v>150</v>
      </c>
      <c r="B17" s="14" t="s">
        <v>51</v>
      </c>
      <c r="C17" s="31" t="n">
        <f aca="false">C13*Assumptions!$F$31</f>
        <v>8988</v>
      </c>
      <c r="D17" s="31" t="n">
        <f aca="false">D13*Assumptions!$F$31</f>
        <v>27823.7002105263</v>
      </c>
      <c r="E17" s="31" t="n">
        <f aca="false">E13*Assumptions!$F$31</f>
        <v>66795.1155905526</v>
      </c>
      <c r="F17" s="31" t="n">
        <f aca="false">F13*Assumptions!$F$31</f>
        <v>146786.210754014</v>
      </c>
      <c r="G17" s="31" t="n">
        <f aca="false">G13*Assumptions!$F$31</f>
        <v>299138.054862489</v>
      </c>
      <c r="H17" s="31" t="n">
        <f aca="false">H13*Assumptions!$F$31</f>
        <v>540565.320478726</v>
      </c>
      <c r="I17" s="31" t="n">
        <f aca="false">I13*Assumptions!$F$31</f>
        <v>902630.137021422</v>
      </c>
      <c r="J17" s="31" t="n">
        <f aca="false">J13*Assumptions!$F$31</f>
        <v>1482593.09730882</v>
      </c>
      <c r="K17" s="31" t="n">
        <f aca="false">K13*Assumptions!$F$31</f>
        <v>2409897.08097582</v>
      </c>
      <c r="L17" s="31" t="n">
        <f aca="false">L13*Assumptions!$F$31</f>
        <v>3589853.36027939</v>
      </c>
      <c r="M17" s="31" t="n">
        <f aca="false">M13*Assumptions!$F$31</f>
        <v>5083153.66518226</v>
      </c>
      <c r="N17" s="31" t="n">
        <f aca="false">N13*Assumptions!$F$31</f>
        <v>6964011.73868061</v>
      </c>
      <c r="O17" s="31" t="n">
        <f aca="false">O13*Assumptions!$F$31</f>
        <v>9323098.19591482</v>
      </c>
      <c r="P17" s="31" t="n">
        <f aca="false">P13*Assumptions!$F$31</f>
        <v>12271103.6759464</v>
      </c>
      <c r="Q17" s="31" t="n">
        <f aca="false">Q13*Assumptions!$F$31</f>
        <v>15943065.1643708</v>
      </c>
      <c r="R17" s="31" t="n">
        <f aca="false">R13*Assumptions!$F$31</f>
        <v>20503619.761058</v>
      </c>
      <c r="S17" s="31" t="n">
        <f aca="false">S13*Assumptions!$F$31</f>
        <v>26153386.1596946</v>
      </c>
      <c r="T17" s="31" t="n">
        <f aca="false">T13*Assumptions!$F$31</f>
        <v>33136718.2375423</v>
      </c>
      <c r="U17" s="31" t="n">
        <f aca="false">U13*Assumptions!$F$31</f>
        <v>41751129.3478736</v>
      </c>
      <c r="V17" s="31" t="n">
        <f aca="false">V13*Assumptions!$F$31</f>
        <v>52358752.5653772</v>
      </c>
    </row>
    <row r="18" customFormat="false" ht="15" hidden="false" customHeight="false" outlineLevel="0" collapsed="false">
      <c r="A18" s="13" t="s">
        <v>151</v>
      </c>
      <c r="B18" s="14" t="s">
        <v>51</v>
      </c>
      <c r="C18" s="31" t="n">
        <f aca="false">Customers!C13*Assumptions!$F$32*C6</f>
        <v>9900</v>
      </c>
      <c r="D18" s="31" t="n">
        <f aca="false">Customers!D13*Assumptions!$F$32*D6</f>
        <v>39913.6736842105</v>
      </c>
      <c r="E18" s="31" t="n">
        <f aca="false">Customers!E13*Assumptions!$F$32*E6</f>
        <v>98437.4898157895</v>
      </c>
      <c r="F18" s="31" t="n">
        <f aca="false">Customers!F13*Assumptions!$F$32*F6</f>
        <v>212400.561623684</v>
      </c>
      <c r="G18" s="31" t="n">
        <f aca="false">Customers!G13*Assumptions!$F$32*G6</f>
        <v>403224.265889528</v>
      </c>
      <c r="H18" s="31" t="n">
        <f aca="false">Customers!H13*Assumptions!$F$32*H6</f>
        <v>694402.842449391</v>
      </c>
      <c r="I18" s="31" t="n">
        <f aca="false">Customers!I13*Assumptions!$F$32*I6</f>
        <v>1138620.05915371</v>
      </c>
      <c r="J18" s="31" t="n">
        <f aca="false">Customers!J13*Assumptions!$F$32*J6</f>
        <v>1815962.35539881</v>
      </c>
      <c r="K18" s="31" t="n">
        <f aca="false">Customers!K13*Assumptions!$F$32*K6</f>
        <v>2847971.10271741</v>
      </c>
      <c r="L18" s="31" t="n">
        <f aca="false">Customers!L13*Assumptions!$F$32*L6</f>
        <v>4182498.97957216</v>
      </c>
      <c r="M18" s="31" t="n">
        <f aca="false">Customers!M13*Assumptions!$F$32*M6</f>
        <v>5697932.6271663</v>
      </c>
      <c r="N18" s="31" t="n">
        <f aca="false">Customers!N13*Assumptions!$F$32*N6</f>
        <v>7420589.10355376</v>
      </c>
      <c r="O18" s="31" t="n">
        <f aca="false">Customers!O13*Assumptions!$F$32*O6</f>
        <v>9380976.04975516</v>
      </c>
      <c r="P18" s="31" t="n">
        <f aca="false">Customers!P13*Assumptions!$F$32*P6</f>
        <v>11614322.8436773</v>
      </c>
      <c r="Q18" s="31" t="n">
        <f aca="false">Customers!Q13*Assumptions!$F$32*Q6</f>
        <v>14161193.1783331</v>
      </c>
      <c r="R18" s="31" t="n">
        <f aca="false">Customers!R13*Assumptions!$F$32*R6</f>
        <v>17068189.278155</v>
      </c>
      <c r="S18" s="31" t="n">
        <f aca="false">Customers!S13*Assumptions!$F$32*S6</f>
        <v>20388759.4471037</v>
      </c>
      <c r="T18" s="31" t="n">
        <f aca="false">Customers!T13*Assumptions!$F$32*T6</f>
        <v>24184122.3094839</v>
      </c>
      <c r="U18" s="31" t="n">
        <f aca="false">Customers!U13*Assumptions!$F$32*U6</f>
        <v>28524322.9848533</v>
      </c>
      <c r="V18" s="31" t="n">
        <f aca="false">Customers!V13*Assumptions!$F$32*V6</f>
        <v>33489438.5614557</v>
      </c>
    </row>
    <row r="19" customFormat="false" ht="15" hidden="false" customHeight="false" outlineLevel="0" collapsed="false">
      <c r="A19" s="13" t="s">
        <v>152</v>
      </c>
      <c r="B19" s="14" t="s">
        <v>51</v>
      </c>
      <c r="C19" s="31" t="n">
        <f aca="false">Customers!C13*Assumptions!$F$33*C6</f>
        <v>17400</v>
      </c>
      <c r="D19" s="31" t="n">
        <f aca="false">Customers!D13*Assumptions!$F$33*D6</f>
        <v>70151.3052631579</v>
      </c>
      <c r="E19" s="31" t="n">
        <f aca="false">Customers!E13*Assumptions!$F$33*E6</f>
        <v>173011.345736842</v>
      </c>
      <c r="F19" s="31" t="n">
        <f aca="false">Customers!F13*Assumptions!$F$33*F6</f>
        <v>373310.078005263</v>
      </c>
      <c r="G19" s="31" t="n">
        <f aca="false">Customers!G13*Assumptions!$F$33*G6</f>
        <v>708697.194593715</v>
      </c>
      <c r="H19" s="31" t="n">
        <f aca="false">Customers!H13*Assumptions!$F$33*H6</f>
        <v>1220465.60188075</v>
      </c>
      <c r="I19" s="31" t="n">
        <f aca="false">Customers!I13*Assumptions!$F$33*I6</f>
        <v>2001211.01305803</v>
      </c>
      <c r="J19" s="31" t="n">
        <f aca="false">Customers!J13*Assumptions!$F$33*J6</f>
        <v>3191691.41251913</v>
      </c>
      <c r="K19" s="31" t="n">
        <f aca="false">Customers!K13*Assumptions!$F$33*K6</f>
        <v>5005524.96841242</v>
      </c>
      <c r="L19" s="31" t="n">
        <f aca="false">Customers!L13*Assumptions!$F$33*L6</f>
        <v>7351058.81258137</v>
      </c>
      <c r="M19" s="31" t="n">
        <f aca="false">Customers!M13*Assumptions!$F$33*M6</f>
        <v>10014548.2538074</v>
      </c>
      <c r="N19" s="31" t="n">
        <f aca="false">Customers!N13*Assumptions!$F$33*N6</f>
        <v>13042247.5153369</v>
      </c>
      <c r="O19" s="31" t="n">
        <f aca="false">Customers!O13*Assumptions!$F$33*O6</f>
        <v>16487776.0874485</v>
      </c>
      <c r="P19" s="31" t="n">
        <f aca="false">Customers!P13*Assumptions!$F$33*P6</f>
        <v>20413052.2707055</v>
      </c>
      <c r="Q19" s="31" t="n">
        <f aca="false">Customers!Q13*Assumptions!$F$33*Q6</f>
        <v>24889369.8285854</v>
      </c>
      <c r="R19" s="31" t="n">
        <f aca="false">Customers!R13*Assumptions!$F$33*R6</f>
        <v>29998635.7009996</v>
      </c>
      <c r="S19" s="31" t="n">
        <f aca="false">Customers!S13*Assumptions!$F$33*S6</f>
        <v>35834789.3312732</v>
      </c>
      <c r="T19" s="31" t="n">
        <f aca="false">Customers!T13*Assumptions!$F$33*T6</f>
        <v>42505427.0893959</v>
      </c>
      <c r="U19" s="31" t="n">
        <f aca="false">Customers!U13*Assumptions!$F$33*U6</f>
        <v>50133658.5794392</v>
      </c>
      <c r="V19" s="31" t="n">
        <f aca="false">Customers!V13*Assumptions!$F$33*V6</f>
        <v>58860225.3504372</v>
      </c>
    </row>
    <row r="20" customFormat="false" ht="15" hidden="false" customHeight="false" outlineLevel="0" collapsed="false">
      <c r="A20" s="13" t="s">
        <v>153</v>
      </c>
      <c r="B20" s="14" t="s">
        <v>51</v>
      </c>
      <c r="C20" s="31" t="n">
        <f aca="false">Customers!C13*Assumptions!$F$34*C6</f>
        <v>4350</v>
      </c>
      <c r="D20" s="31" t="n">
        <f aca="false">Customers!D13*Assumptions!$F$34*D6</f>
        <v>17537.8263157895</v>
      </c>
      <c r="E20" s="31" t="n">
        <f aca="false">Customers!E13*Assumptions!$F$34*E6</f>
        <v>43252.8364342105</v>
      </c>
      <c r="F20" s="31" t="n">
        <f aca="false">Customers!F13*Assumptions!$F$34*F6</f>
        <v>93327.5195013158</v>
      </c>
      <c r="G20" s="31" t="n">
        <f aca="false">Customers!G13*Assumptions!$F$34*G6</f>
        <v>177174.298648429</v>
      </c>
      <c r="H20" s="31" t="n">
        <f aca="false">Customers!H13*Assumptions!$F$34*H6</f>
        <v>305116.400470187</v>
      </c>
      <c r="I20" s="31" t="n">
        <f aca="false">Customers!I13*Assumptions!$F$34*I6</f>
        <v>500302.753264507</v>
      </c>
      <c r="J20" s="31" t="n">
        <f aca="false">Customers!J13*Assumptions!$F$34*J6</f>
        <v>797922.853129781</v>
      </c>
      <c r="K20" s="31" t="n">
        <f aca="false">Customers!K13*Assumptions!$F$34*K6</f>
        <v>1251381.2421031</v>
      </c>
      <c r="L20" s="31" t="n">
        <f aca="false">Customers!L13*Assumptions!$F$34*L6</f>
        <v>1837764.70314534</v>
      </c>
      <c r="M20" s="31" t="n">
        <f aca="false">Customers!M13*Assumptions!$F$34*M6</f>
        <v>2503637.06345186</v>
      </c>
      <c r="N20" s="31" t="n">
        <f aca="false">Customers!N13*Assumptions!$F$34*N6</f>
        <v>3260561.87883423</v>
      </c>
      <c r="O20" s="31" t="n">
        <f aca="false">Customers!O13*Assumptions!$F$34*O6</f>
        <v>4121944.02186212</v>
      </c>
      <c r="P20" s="31" t="n">
        <f aca="false">Customers!P13*Assumptions!$F$34*P6</f>
        <v>5103263.06767638</v>
      </c>
      <c r="Q20" s="31" t="n">
        <f aca="false">Customers!Q13*Assumptions!$F$34*Q6</f>
        <v>6222342.45714636</v>
      </c>
      <c r="R20" s="31" t="n">
        <f aca="false">Customers!R13*Assumptions!$F$34*R6</f>
        <v>7499658.92524991</v>
      </c>
      <c r="S20" s="31" t="n">
        <f aca="false">Customers!S13*Assumptions!$F$34*S6</f>
        <v>8958697.3328183</v>
      </c>
      <c r="T20" s="31" t="n">
        <f aca="false">Customers!T13*Assumptions!$F$34*T6</f>
        <v>10626356.772349</v>
      </c>
      <c r="U20" s="31" t="n">
        <f aca="false">Customers!U13*Assumptions!$F$34*U6</f>
        <v>12533414.6448598</v>
      </c>
      <c r="V20" s="31" t="n">
        <f aca="false">Customers!V13*Assumptions!$F$34*V6</f>
        <v>14715056.3376093</v>
      </c>
    </row>
    <row r="21" customFormat="false" ht="15" hidden="false" customHeight="false" outlineLevel="0" collapsed="false">
      <c r="A21" s="13" t="s">
        <v>154</v>
      </c>
      <c r="B21" s="14" t="s">
        <v>51</v>
      </c>
      <c r="C21" s="31" t="n">
        <f aca="false">Customers!C13*Assumptions!$F$35*C6</f>
        <v>3900</v>
      </c>
      <c r="D21" s="31" t="n">
        <f aca="false">Customers!D13*Assumptions!$F$35*D6</f>
        <v>15723.5684210526</v>
      </c>
      <c r="E21" s="31" t="n">
        <f aca="false">Customers!E13*Assumptions!$F$35*E6</f>
        <v>38778.4050789474</v>
      </c>
      <c r="F21" s="31" t="n">
        <f aca="false">Customers!F13*Assumptions!$F$35*F6</f>
        <v>83672.948518421</v>
      </c>
      <c r="G21" s="31" t="n">
        <f aca="false">Customers!G13*Assumptions!$F$35*G6</f>
        <v>158845.922926178</v>
      </c>
      <c r="H21" s="31" t="n">
        <f aca="false">Customers!H13*Assumptions!$F$35*H6</f>
        <v>273552.634904306</v>
      </c>
      <c r="I21" s="31" t="n">
        <f aca="false">Customers!I13*Assumptions!$F$35*I6</f>
        <v>448547.296030248</v>
      </c>
      <c r="J21" s="31" t="n">
        <f aca="false">Customers!J13*Assumptions!$F$35*J6</f>
        <v>715379.109702562</v>
      </c>
      <c r="K21" s="31" t="n">
        <f aca="false">Customers!K13*Assumptions!$F$35*K6</f>
        <v>1121928.0101614</v>
      </c>
      <c r="L21" s="31" t="n">
        <f aca="false">Customers!L13*Assumptions!$F$35*L6</f>
        <v>1647651.11316479</v>
      </c>
      <c r="M21" s="31" t="n">
        <f aca="false">Customers!M13*Assumptions!$F$35*M6</f>
        <v>2244640.12585339</v>
      </c>
      <c r="N21" s="31" t="n">
        <f aca="false">Customers!N13*Assumptions!$F$35*N6</f>
        <v>2923262.37412724</v>
      </c>
      <c r="O21" s="31" t="n">
        <f aca="false">Customers!O13*Assumptions!$F$35*O6</f>
        <v>3695536.01960052</v>
      </c>
      <c r="P21" s="31" t="n">
        <f aca="false">Customers!P13*Assumptions!$F$35*P6</f>
        <v>4575339.30205468</v>
      </c>
      <c r="Q21" s="31" t="n">
        <f aca="false">Customers!Q13*Assumptions!$F$35*Q6</f>
        <v>5578651.85813122</v>
      </c>
      <c r="R21" s="31" t="n">
        <f aca="false">Customers!R13*Assumptions!$F$35*R6</f>
        <v>6723832.13987923</v>
      </c>
      <c r="S21" s="31" t="n">
        <f aca="false">Customers!S13*Assumptions!$F$35*S6</f>
        <v>8031935.53976813</v>
      </c>
      <c r="T21" s="31" t="n">
        <f aca="false">Customers!T13*Assumptions!$F$35*T6</f>
        <v>9527078.48555425</v>
      </c>
      <c r="U21" s="31" t="n">
        <f aca="false">Customers!U13*Assumptions!$F$35*U6</f>
        <v>11236854.5091846</v>
      </c>
      <c r="V21" s="31" t="n">
        <f aca="false">Customers!V13*Assumptions!$F$35*V6</f>
        <v>13192809.1302704</v>
      </c>
    </row>
    <row r="22" customFormat="false" ht="15" hidden="false" customHeight="false" outlineLevel="0" collapsed="false">
      <c r="A22" s="13" t="s">
        <v>155</v>
      </c>
      <c r="B22" s="14" t="s">
        <v>51</v>
      </c>
      <c r="C22" s="31" t="n">
        <f aca="false">Customers!C13*Assumptions!$F$36*C6</f>
        <v>960</v>
      </c>
      <c r="D22" s="31" t="n">
        <f aca="false">Customers!D13*Assumptions!$F$36*D6</f>
        <v>3870.41684210526</v>
      </c>
      <c r="E22" s="31" t="n">
        <f aca="false">Customers!E13*Assumptions!$F$36*E6</f>
        <v>9545.45355789474</v>
      </c>
      <c r="F22" s="31" t="n">
        <f aca="false">Customers!F13*Assumptions!$F$36*F6</f>
        <v>20596.4180968421</v>
      </c>
      <c r="G22" s="31" t="n">
        <f aca="false">Customers!G13*Assumptions!$F$36*G6</f>
        <v>39100.534874136</v>
      </c>
      <c r="H22" s="31" t="n">
        <f aca="false">Customers!H13*Assumptions!$F$36*H6</f>
        <v>67336.0332072137</v>
      </c>
      <c r="I22" s="31" t="n">
        <f aca="false">Customers!I13*Assumptions!$F$36*I6</f>
        <v>110411.642099753</v>
      </c>
      <c r="J22" s="31" t="n">
        <f aca="false">Customers!J13*Assumptions!$F$36*J6</f>
        <v>176093.3193114</v>
      </c>
      <c r="K22" s="31" t="n">
        <f aca="false">Customers!K13*Assumptions!$F$36*K6</f>
        <v>276166.894808961</v>
      </c>
      <c r="L22" s="31" t="n">
        <f aca="false">Customers!L13*Assumptions!$F$36*L6</f>
        <v>405575.658625179</v>
      </c>
      <c r="M22" s="31" t="n">
        <f aca="false">Customers!M13*Assumptions!$F$36*M6</f>
        <v>552526.800210066</v>
      </c>
      <c r="N22" s="31" t="n">
        <f aca="false">Customers!N13*Assumptions!$F$36*N6</f>
        <v>719572.276708243</v>
      </c>
      <c r="O22" s="31" t="n">
        <f aca="false">Customers!O13*Assumptions!$F$36*O6</f>
        <v>909670.404824743</v>
      </c>
      <c r="P22" s="31" t="n">
        <f aca="false">Customers!P13*Assumptions!$F$36*P6</f>
        <v>1126237.36665961</v>
      </c>
      <c r="Q22" s="31" t="n">
        <f aca="false">Customers!Q13*Assumptions!$F$36*Q6</f>
        <v>1373206.6112323</v>
      </c>
      <c r="R22" s="31" t="n">
        <f aca="false">Customers!R13*Assumptions!$F$36*R6</f>
        <v>1655097.14212412</v>
      </c>
      <c r="S22" s="31" t="n">
        <f aca="false">Customers!S13*Assumptions!$F$36*S6</f>
        <v>1977091.82517369</v>
      </c>
      <c r="T22" s="31" t="n">
        <f aca="false">Customers!T13*Assumptions!$F$36*T6</f>
        <v>2345127.01182874</v>
      </c>
      <c r="U22" s="31" t="n">
        <f aca="false">Customers!U13*Assumptions!$F$36*U6</f>
        <v>2765994.95610699</v>
      </c>
      <c r="V22" s="31" t="n">
        <f aca="false">Customers!V13*Assumptions!$F$36*V6</f>
        <v>3247460.70898964</v>
      </c>
    </row>
    <row r="23" customFormat="false" ht="15" hidden="false" customHeight="false" outlineLevel="0" collapsed="false">
      <c r="A23" s="13" t="s">
        <v>156</v>
      </c>
      <c r="B23" s="14" t="s">
        <v>51</v>
      </c>
      <c r="C23" s="31" t="n">
        <f aca="false">Customers!C13*Assumptions!$F$37*C6</f>
        <v>1650</v>
      </c>
      <c r="D23" s="31" t="n">
        <f aca="false">Customers!D13*Assumptions!$F$37*D6</f>
        <v>6652.27894736842</v>
      </c>
      <c r="E23" s="31" t="n">
        <f aca="false">Customers!E13*Assumptions!$F$37*E6</f>
        <v>16406.2483026316</v>
      </c>
      <c r="F23" s="31" t="n">
        <f aca="false">Customers!F13*Assumptions!$F$37*F6</f>
        <v>35400.0936039474</v>
      </c>
      <c r="G23" s="31" t="n">
        <f aca="false">Customers!G13*Assumptions!$F$37*G6</f>
        <v>67204.0443149213</v>
      </c>
      <c r="H23" s="31" t="n">
        <f aca="false">Customers!H13*Assumptions!$F$37*H6</f>
        <v>115733.807074899</v>
      </c>
      <c r="I23" s="31" t="n">
        <f aca="false">Customers!I13*Assumptions!$F$37*I6</f>
        <v>189770.009858951</v>
      </c>
      <c r="J23" s="31" t="n">
        <f aca="false">Customers!J13*Assumptions!$F$37*J6</f>
        <v>302660.392566469</v>
      </c>
      <c r="K23" s="31" t="n">
        <f aca="false">Customers!K13*Assumptions!$F$37*K6</f>
        <v>474661.850452902</v>
      </c>
      <c r="L23" s="31" t="n">
        <f aca="false">Customers!L13*Assumptions!$F$37*L6</f>
        <v>697083.163262027</v>
      </c>
      <c r="M23" s="31" t="n">
        <f aca="false">Customers!M13*Assumptions!$F$37*M6</f>
        <v>949655.43786105</v>
      </c>
      <c r="N23" s="31" t="n">
        <f aca="false">Customers!N13*Assumptions!$F$37*N6</f>
        <v>1236764.85059229</v>
      </c>
      <c r="O23" s="31" t="n">
        <f aca="false">Customers!O13*Assumptions!$F$37*O6</f>
        <v>1563496.00829253</v>
      </c>
      <c r="P23" s="31" t="n">
        <f aca="false">Customers!P13*Assumptions!$F$37*P6</f>
        <v>1935720.47394621</v>
      </c>
      <c r="Q23" s="31" t="n">
        <f aca="false">Customers!Q13*Assumptions!$F$37*Q6</f>
        <v>2360198.86305551</v>
      </c>
      <c r="R23" s="31" t="n">
        <f aca="false">Customers!R13*Assumptions!$F$37*R6</f>
        <v>2844698.21302583</v>
      </c>
      <c r="S23" s="31" t="n">
        <f aca="false">Customers!S13*Assumptions!$F$37*S6</f>
        <v>3398126.57451729</v>
      </c>
      <c r="T23" s="31" t="n">
        <f aca="false">Customers!T13*Assumptions!$F$37*T6</f>
        <v>4030687.05158065</v>
      </c>
      <c r="U23" s="31" t="n">
        <f aca="false">Customers!U13*Assumptions!$F$37*U6</f>
        <v>4754053.83080889</v>
      </c>
      <c r="V23" s="31" t="n">
        <f aca="false">Customers!V13*Assumptions!$F$37*V6</f>
        <v>5581573.09357594</v>
      </c>
    </row>
    <row r="24" customFormat="false" ht="15" hidden="false" customHeight="false" outlineLevel="0" collapsed="false">
      <c r="A24" s="26" t="s">
        <v>157</v>
      </c>
      <c r="B24" s="14" t="s">
        <v>51</v>
      </c>
      <c r="C24" s="32" t="n">
        <f aca="false">SUM(C16:C23)</f>
        <v>62556</v>
      </c>
      <c r="D24" s="32" t="n">
        <f aca="false">SUM(D16:D23)</f>
        <v>229370.541473684</v>
      </c>
      <c r="E24" s="32" t="n">
        <f aca="false">SUM(E16:E23)</f>
        <v>560732.806957816</v>
      </c>
      <c r="F24" s="32" t="n">
        <f aca="false">SUM(F16:F23)</f>
        <v>1217127.33425323</v>
      </c>
      <c r="G24" s="32" t="n">
        <f aca="false">SUM(G16:G23)</f>
        <v>2366192.41015938</v>
      </c>
      <c r="H24" s="32" t="n">
        <f aca="false">SUM(H16:H23)</f>
        <v>4143856.04700043</v>
      </c>
      <c r="I24" s="32" t="n">
        <f aca="false">SUM(I16:I23)</f>
        <v>6838858.85966619</v>
      </c>
      <c r="J24" s="32" t="n">
        <f aca="false">SUM(J16:J23)</f>
        <v>11023890.7067521</v>
      </c>
      <c r="K24" s="32" t="n">
        <f aca="false">SUM(K16:K23)</f>
        <v>17518783.2884477</v>
      </c>
      <c r="L24" s="32" t="n">
        <f aca="false">SUM(L16:L23)</f>
        <v>25865520.1225378</v>
      </c>
      <c r="M24" s="32" t="n">
        <f aca="false">SUM(M16:M23)</f>
        <v>35760071.6852734</v>
      </c>
      <c r="N24" s="32" t="n">
        <f aca="false">SUM(N16:N23)</f>
        <v>47505315.5755715</v>
      </c>
      <c r="O24" s="32" t="n">
        <f aca="false">SUM(O16:O23)</f>
        <v>61464950.8378381</v>
      </c>
      <c r="P24" s="32" t="n">
        <f aca="false">SUM(P16:P23)</f>
        <v>78075216.7308599</v>
      </c>
      <c r="Q24" s="32" t="n">
        <f aca="false">SUM(Q16:Q23)</f>
        <v>97858996.8140618</v>
      </c>
      <c r="R24" s="32" t="n">
        <f aca="false">SUM(R16:R23)</f>
        <v>121442793.60802</v>
      </c>
      <c r="S24" s="32" t="n">
        <f aca="false">SUM(S16:S23)</f>
        <v>149577162.484111</v>
      </c>
      <c r="T24" s="32" t="n">
        <f aca="false">SUM(T16:T23)</f>
        <v>183161319.650664</v>
      </c>
      <c r="U24" s="32" t="n">
        <f aca="false">SUM(U16:U23)</f>
        <v>223272793.449481</v>
      </c>
      <c r="V24" s="32" t="n">
        <f aca="false">SUM(V16:V23)</f>
        <v>271203177.288362</v>
      </c>
    </row>
    <row r="26" customFormat="false" ht="15" hidden="false" customHeight="false" outlineLevel="0" collapsed="false">
      <c r="A26" s="11" t="s">
        <v>158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customFormat="false" ht="15" hidden="false" customHeight="false" outlineLevel="0" collapsed="false">
      <c r="A27" s="13" t="s">
        <v>159</v>
      </c>
      <c r="B27" s="14" t="s">
        <v>51</v>
      </c>
      <c r="C27" s="31" t="n">
        <f aca="false">C13*Assumptions!$F$43</f>
        <v>16692</v>
      </c>
      <c r="D27" s="31" t="n">
        <f aca="false">D13*Assumptions!$F$43</f>
        <v>51672.5861052632</v>
      </c>
      <c r="E27" s="31" t="n">
        <f aca="false">E13*Assumptions!$F$43</f>
        <v>124048.071811026</v>
      </c>
      <c r="F27" s="31" t="n">
        <f aca="false">F13*Assumptions!$F$43</f>
        <v>272602.962828884</v>
      </c>
      <c r="G27" s="31" t="n">
        <f aca="false">G13*Assumptions!$F$43</f>
        <v>555542.101887479</v>
      </c>
      <c r="H27" s="31" t="n">
        <f aca="false">H13*Assumptions!$F$43</f>
        <v>1003907.02374621</v>
      </c>
      <c r="I27" s="31" t="n">
        <f aca="false">I13*Assumptions!$F$43</f>
        <v>1676313.11161121</v>
      </c>
      <c r="J27" s="31" t="n">
        <f aca="false">J13*Assumptions!$F$43</f>
        <v>2753387.18071637</v>
      </c>
      <c r="K27" s="31" t="n">
        <f aca="false">K13*Assumptions!$F$43</f>
        <v>4475523.15038367</v>
      </c>
      <c r="L27" s="31" t="n">
        <f aca="false">L13*Assumptions!$F$43</f>
        <v>6666870.52623316</v>
      </c>
      <c r="M27" s="31" t="n">
        <f aca="false">M13*Assumptions!$F$43</f>
        <v>9440142.52105277</v>
      </c>
      <c r="N27" s="31" t="n">
        <f aca="false">N13*Assumptions!$F$43</f>
        <v>12933164.6575497</v>
      </c>
      <c r="O27" s="31" t="n">
        <f aca="false">O13*Assumptions!$F$43</f>
        <v>17314325.2209847</v>
      </c>
      <c r="P27" s="31" t="n">
        <f aca="false">P13*Assumptions!$F$43</f>
        <v>22789192.5410433</v>
      </c>
      <c r="Q27" s="31" t="n">
        <f aca="false">Q13*Assumptions!$F$43</f>
        <v>29608549.5909743</v>
      </c>
      <c r="R27" s="31" t="n">
        <f aca="false">R13*Assumptions!$F$43</f>
        <v>38078150.984822</v>
      </c>
      <c r="S27" s="31" t="n">
        <f aca="false">S13*Assumptions!$F$43</f>
        <v>48570574.2965756</v>
      </c>
      <c r="T27" s="31" t="n">
        <f aca="false">T13*Assumptions!$F$43</f>
        <v>61539619.5840072</v>
      </c>
      <c r="U27" s="31" t="n">
        <f aca="false">U13*Assumptions!$F$43</f>
        <v>77537811.646051</v>
      </c>
      <c r="V27" s="31" t="n">
        <f aca="false">V13*Assumptions!$F$43</f>
        <v>97237683.3357005</v>
      </c>
    </row>
    <row r="28" customFormat="false" ht="15" hidden="false" customHeight="false" outlineLevel="0" collapsed="false">
      <c r="A28" s="13" t="s">
        <v>160</v>
      </c>
      <c r="B28" s="14" t="s">
        <v>51</v>
      </c>
      <c r="C28" s="31" t="n">
        <f aca="false">C13*Assumptions!$F$44</f>
        <v>11556</v>
      </c>
      <c r="D28" s="31" t="n">
        <f aca="false">D13*Assumptions!$F$44</f>
        <v>35773.3288421053</v>
      </c>
      <c r="E28" s="31" t="n">
        <f aca="false">E13*Assumptions!$F$44</f>
        <v>85879.4343307105</v>
      </c>
      <c r="F28" s="31" t="n">
        <f aca="false">F13*Assumptions!$F$44</f>
        <v>188725.128112304</v>
      </c>
      <c r="G28" s="31" t="n">
        <f aca="false">G13*Assumptions!$F$44</f>
        <v>384606.070537486</v>
      </c>
      <c r="H28" s="31" t="n">
        <f aca="false">H13*Assumptions!$F$44</f>
        <v>695012.554901219</v>
      </c>
      <c r="I28" s="31" t="n">
        <f aca="false">I13*Assumptions!$F$44</f>
        <v>1160524.46188469</v>
      </c>
      <c r="J28" s="31" t="n">
        <f aca="false">J13*Assumptions!$F$44</f>
        <v>1906191.12511133</v>
      </c>
      <c r="K28" s="31" t="n">
        <f aca="false">K13*Assumptions!$F$44</f>
        <v>3098439.10411177</v>
      </c>
      <c r="L28" s="31" t="n">
        <f aca="false">L13*Assumptions!$F$44</f>
        <v>4615525.74893065</v>
      </c>
      <c r="M28" s="31" t="n">
        <f aca="false">M13*Assumptions!$F$44</f>
        <v>6535483.28380577</v>
      </c>
      <c r="N28" s="31" t="n">
        <f aca="false">N13*Assumptions!$F$44</f>
        <v>8953729.37830364</v>
      </c>
      <c r="O28" s="31" t="n">
        <f aca="false">O13*Assumptions!$F$44</f>
        <v>11986840.5376048</v>
      </c>
      <c r="P28" s="31" t="n">
        <f aca="false">P13*Assumptions!$F$44</f>
        <v>15777133.2976454</v>
      </c>
      <c r="Q28" s="31" t="n">
        <f aca="false">Q13*Assumptions!$F$44</f>
        <v>20498226.6399053</v>
      </c>
      <c r="R28" s="31" t="n">
        <f aca="false">R13*Assumptions!$F$44</f>
        <v>26361796.835646</v>
      </c>
      <c r="S28" s="31" t="n">
        <f aca="false">S13*Assumptions!$F$44</f>
        <v>33625782.2053216</v>
      </c>
      <c r="T28" s="31" t="n">
        <f aca="false">T13*Assumptions!$F$44</f>
        <v>42604352.0196973</v>
      </c>
      <c r="U28" s="31" t="n">
        <f aca="false">U13*Assumptions!$F$44</f>
        <v>53680023.447266</v>
      </c>
      <c r="V28" s="31" t="n">
        <f aca="false">V13*Assumptions!$F$44</f>
        <v>67318396.1554849</v>
      </c>
    </row>
    <row r="29" customFormat="false" ht="15" hidden="false" customHeight="false" outlineLevel="0" collapsed="false">
      <c r="A29" s="13" t="s">
        <v>161</v>
      </c>
      <c r="B29" s="14" t="s">
        <v>51</v>
      </c>
      <c r="C29" s="31" t="n">
        <f aca="false">C13*Assumptions!$F$45</f>
        <v>5136</v>
      </c>
      <c r="D29" s="31" t="n">
        <f aca="false">D13*Assumptions!$F$45</f>
        <v>15899.2572631579</v>
      </c>
      <c r="E29" s="31" t="n">
        <f aca="false">E13*Assumptions!$F$45</f>
        <v>38168.6374803158</v>
      </c>
      <c r="F29" s="31" t="n">
        <f aca="false">F13*Assumptions!$F$45</f>
        <v>83877.8347165797</v>
      </c>
      <c r="G29" s="31" t="n">
        <f aca="false">G13*Assumptions!$F$45</f>
        <v>170936.031349994</v>
      </c>
      <c r="H29" s="31" t="n">
        <f aca="false">H13*Assumptions!$F$45</f>
        <v>308894.468844986</v>
      </c>
      <c r="I29" s="31" t="n">
        <f aca="false">I13*Assumptions!$F$45</f>
        <v>515788.649726527</v>
      </c>
      <c r="J29" s="31" t="n">
        <f aca="false">J13*Assumptions!$F$45</f>
        <v>847196.055605037</v>
      </c>
      <c r="K29" s="31" t="n">
        <f aca="false">K13*Assumptions!$F$45</f>
        <v>1377084.0462719</v>
      </c>
      <c r="L29" s="31" t="n">
        <f aca="false">L13*Assumptions!$F$45</f>
        <v>2051344.77730251</v>
      </c>
      <c r="M29" s="31" t="n">
        <f aca="false">M13*Assumptions!$F$45</f>
        <v>2904659.23724701</v>
      </c>
      <c r="N29" s="31" t="n">
        <f aca="false">N13*Assumptions!$F$45</f>
        <v>3979435.27924606</v>
      </c>
      <c r="O29" s="31" t="n">
        <f aca="false">O13*Assumptions!$F$45</f>
        <v>5327484.6833799</v>
      </c>
      <c r="P29" s="31" t="n">
        <f aca="false">P13*Assumptions!$F$45</f>
        <v>7012059.24339794</v>
      </c>
      <c r="Q29" s="31" t="n">
        <f aca="false">Q13*Assumptions!$F$45</f>
        <v>9110322.95106902</v>
      </c>
      <c r="R29" s="31" t="n">
        <f aca="false">R13*Assumptions!$F$45</f>
        <v>11716354.149176</v>
      </c>
      <c r="S29" s="31" t="n">
        <f aca="false">S13*Assumptions!$F$45</f>
        <v>14944792.091254</v>
      </c>
      <c r="T29" s="31" t="n">
        <f aca="false">T13*Assumptions!$F$45</f>
        <v>18935267.5643099</v>
      </c>
      <c r="U29" s="31" t="n">
        <f aca="false">U13*Assumptions!$F$45</f>
        <v>23857788.1987849</v>
      </c>
      <c r="V29" s="31" t="n">
        <f aca="false">V13*Assumptions!$F$45</f>
        <v>29919287.1802155</v>
      </c>
    </row>
    <row r="30" customFormat="false" ht="15" hidden="false" customHeight="false" outlineLevel="0" collapsed="false">
      <c r="A30" s="13" t="s">
        <v>162</v>
      </c>
      <c r="B30" s="14" t="s">
        <v>51</v>
      </c>
      <c r="C30" s="31" t="n">
        <f aca="false">Customers!C10*Assumptions!$F$39*C6</f>
        <v>42000</v>
      </c>
      <c r="D30" s="31" t="n">
        <f aca="false">Customers!D10*Assumptions!$F$39*D6</f>
        <v>83199.7894736842</v>
      </c>
      <c r="E30" s="31" t="n">
        <f aca="false">Customers!E10*Assumptions!$F$39*E6</f>
        <v>164038.173157895</v>
      </c>
      <c r="F30" s="31" t="n">
        <f aca="false">Customers!F10*Assumptions!$F$39*F6</f>
        <v>322086.695589474</v>
      </c>
      <c r="G30" s="31" t="n">
        <f aca="false">Customers!G10*Assumptions!$F$39*G6</f>
        <v>499648.09297095</v>
      </c>
      <c r="H30" s="31" t="n">
        <f aca="false">Customers!H10*Assumptions!$F$39*H6</f>
        <v>772585.941480854</v>
      </c>
      <c r="I30" s="31" t="n">
        <f aca="false">Customers!I10*Assumptions!$F$39*I6</f>
        <v>1191155.17566884</v>
      </c>
      <c r="J30" s="31" t="n">
        <f aca="false">Customers!J10*Assumptions!$F$39*J6</f>
        <v>1831701.04502559</v>
      </c>
      <c r="K30" s="31" t="n">
        <f aca="false">Customers!K10*Assumptions!$F$39*K6</f>
        <v>2810045.64555373</v>
      </c>
      <c r="L30" s="31" t="n">
        <f aca="false">Customers!L10*Assumptions!$F$39*L6</f>
        <v>3299030.80702771</v>
      </c>
      <c r="M30" s="31" t="n">
        <f aca="false">Customers!M10*Assumptions!$F$39*M6</f>
        <v>3865503.62851291</v>
      </c>
      <c r="N30" s="31" t="n">
        <f aca="false">Customers!N10*Assumptions!$F$39*N6</f>
        <v>4521093.0439087</v>
      </c>
      <c r="O30" s="31" t="n">
        <f aca="false">Customers!O10*Assumptions!$F$39*O6</f>
        <v>5279112.12065427</v>
      </c>
      <c r="P30" s="31" t="n">
        <f aca="false">Customers!P10*Assumptions!$F$39*P6</f>
        <v>6154795.90326023</v>
      </c>
      <c r="Q30" s="31" t="n">
        <f aca="false">Customers!Q10*Assumptions!$F$39*Q6</f>
        <v>7165572.22401822</v>
      </c>
      <c r="R30" s="31" t="n">
        <f aca="false">Customers!R10*Assumptions!$F$39*R6</f>
        <v>8331369.98481704</v>
      </c>
      <c r="S30" s="31" t="n">
        <f aca="false">Customers!S10*Assumptions!$F$39*S6</f>
        <v>9674970.02226848</v>
      </c>
      <c r="T30" s="31" t="n">
        <f aca="false">Customers!T10*Assumptions!$F$39*T6</f>
        <v>11222404.3580041</v>
      </c>
      <c r="U30" s="31" t="n">
        <f aca="false">Customers!U10*Assumptions!$F$39*U6</f>
        <v>13003410.4178477</v>
      </c>
      <c r="V30" s="31" t="n">
        <f aca="false">Customers!V10*Assumptions!$F$39*V6</f>
        <v>15051947.6898286</v>
      </c>
    </row>
    <row r="31" customFormat="false" ht="15" hidden="false" customHeight="false" outlineLevel="0" collapsed="false">
      <c r="A31" s="13" t="s">
        <v>163</v>
      </c>
      <c r="B31" s="14" t="s">
        <v>51</v>
      </c>
      <c r="C31" s="31" t="n">
        <f aca="false">Customers!C10*Assumptions!$F$40*C6</f>
        <v>25200</v>
      </c>
      <c r="D31" s="31" t="n">
        <f aca="false">Customers!D10*Assumptions!$F$40*D6</f>
        <v>49919.8736842105</v>
      </c>
      <c r="E31" s="31" t="n">
        <f aca="false">Customers!E10*Assumptions!$F$40*E6</f>
        <v>98422.9038947369</v>
      </c>
      <c r="F31" s="31" t="n">
        <f aca="false">Customers!F10*Assumptions!$F$40*F6</f>
        <v>193252.017353684</v>
      </c>
      <c r="G31" s="31" t="n">
        <f aca="false">Customers!G10*Assumptions!$F$40*G6</f>
        <v>299788.85578257</v>
      </c>
      <c r="H31" s="31" t="n">
        <f aca="false">Customers!H10*Assumptions!$F$40*H6</f>
        <v>463551.564888512</v>
      </c>
      <c r="I31" s="31" t="n">
        <f aca="false">Customers!I10*Assumptions!$F$40*I6</f>
        <v>714693.105401303</v>
      </c>
      <c r="J31" s="31" t="n">
        <f aca="false">Customers!J10*Assumptions!$F$40*J6</f>
        <v>1099020.62701535</v>
      </c>
      <c r="K31" s="31" t="n">
        <f aca="false">Customers!K10*Assumptions!$F$40*K6</f>
        <v>1686027.38733224</v>
      </c>
      <c r="L31" s="31" t="n">
        <f aca="false">Customers!L10*Assumptions!$F$40*L6</f>
        <v>1979418.48421662</v>
      </c>
      <c r="M31" s="31" t="n">
        <f aca="false">Customers!M10*Assumptions!$F$40*M6</f>
        <v>2319302.17710774</v>
      </c>
      <c r="N31" s="31" t="n">
        <f aca="false">Customers!N10*Assumptions!$F$40*N6</f>
        <v>2712655.82634522</v>
      </c>
      <c r="O31" s="31" t="n">
        <f aca="false">Customers!O10*Assumptions!$F$40*O6</f>
        <v>3167467.27239256</v>
      </c>
      <c r="P31" s="31" t="n">
        <f aca="false">Customers!P10*Assumptions!$F$40*P6</f>
        <v>3692877.54195614</v>
      </c>
      <c r="Q31" s="31" t="n">
        <f aca="false">Customers!Q10*Assumptions!$F$40*Q6</f>
        <v>4299343.33441093</v>
      </c>
      <c r="R31" s="31" t="n">
        <f aca="false">Customers!R10*Assumptions!$F$40*R6</f>
        <v>4998821.99089022</v>
      </c>
      <c r="S31" s="31" t="n">
        <f aca="false">Customers!S10*Assumptions!$F$40*S6</f>
        <v>5804982.01336109</v>
      </c>
      <c r="T31" s="31" t="n">
        <f aca="false">Customers!T10*Assumptions!$F$40*T6</f>
        <v>6733442.61480244</v>
      </c>
      <c r="U31" s="31" t="n">
        <f aca="false">Customers!U10*Assumptions!$F$40*U6</f>
        <v>7802046.2507086</v>
      </c>
      <c r="V31" s="31" t="n">
        <f aca="false">Customers!V10*Assumptions!$F$40*V6</f>
        <v>9031168.61389716</v>
      </c>
    </row>
    <row r="32" customFormat="false" ht="15" hidden="false" customHeight="false" outlineLevel="0" collapsed="false">
      <c r="A32" s="13" t="s">
        <v>164</v>
      </c>
      <c r="B32" s="14" t="s">
        <v>51</v>
      </c>
      <c r="C32" s="31" t="n">
        <f aca="false">Customers!C10*Assumptions!$F$41*C6</f>
        <v>18000</v>
      </c>
      <c r="D32" s="31" t="n">
        <f aca="false">Customers!D10*Assumptions!$F$41*D6</f>
        <v>35657.052631579</v>
      </c>
      <c r="E32" s="31" t="n">
        <f aca="false">Customers!E10*Assumptions!$F$41*E6</f>
        <v>70302.0742105263</v>
      </c>
      <c r="F32" s="31" t="n">
        <f aca="false">Customers!F10*Assumptions!$F$41*F6</f>
        <v>138037.155252632</v>
      </c>
      <c r="G32" s="31" t="n">
        <f aca="false">Customers!G10*Assumptions!$F$41*G6</f>
        <v>214134.89698755</v>
      </c>
      <c r="H32" s="31" t="n">
        <f aca="false">Customers!H10*Assumptions!$F$41*H6</f>
        <v>331108.260634652</v>
      </c>
      <c r="I32" s="31" t="n">
        <f aca="false">Customers!I10*Assumptions!$F$41*I6</f>
        <v>510495.075286645</v>
      </c>
      <c r="J32" s="31" t="n">
        <f aca="false">Customers!J10*Assumptions!$F$41*J6</f>
        <v>785014.733582395</v>
      </c>
      <c r="K32" s="31" t="n">
        <f aca="false">Customers!K10*Assumptions!$F$41*K6</f>
        <v>1204305.27666589</v>
      </c>
      <c r="L32" s="31" t="n">
        <f aca="false">Customers!L10*Assumptions!$F$41*L6</f>
        <v>1413870.34586902</v>
      </c>
      <c r="M32" s="31" t="n">
        <f aca="false">Customers!M10*Assumptions!$F$41*M6</f>
        <v>1656644.41221982</v>
      </c>
      <c r="N32" s="31" t="n">
        <f aca="false">Customers!N10*Assumptions!$F$41*N6</f>
        <v>1937611.3045323</v>
      </c>
      <c r="O32" s="31" t="n">
        <f aca="false">Customers!O10*Assumptions!$F$41*O6</f>
        <v>2262476.62313754</v>
      </c>
      <c r="P32" s="31" t="n">
        <f aca="false">Customers!P10*Assumptions!$F$41*P6</f>
        <v>2637769.67282581</v>
      </c>
      <c r="Q32" s="31" t="n">
        <f aca="false">Customers!Q10*Assumptions!$F$41*Q6</f>
        <v>3070959.52457924</v>
      </c>
      <c r="R32" s="31" t="n">
        <f aca="false">Customers!R10*Assumptions!$F$41*R6</f>
        <v>3570587.13635016</v>
      </c>
      <c r="S32" s="31" t="n">
        <f aca="false">Customers!S10*Assumptions!$F$41*S6</f>
        <v>4146415.72382935</v>
      </c>
      <c r="T32" s="31" t="n">
        <f aca="false">Customers!T10*Assumptions!$F$41*T6</f>
        <v>4809601.86771603</v>
      </c>
      <c r="U32" s="31" t="n">
        <f aca="false">Customers!U10*Assumptions!$F$41*U6</f>
        <v>5572890.17907757</v>
      </c>
      <c r="V32" s="31" t="n">
        <f aca="false">Customers!V10*Assumptions!$F$41*V6</f>
        <v>6450834.72421226</v>
      </c>
    </row>
    <row r="33" customFormat="false" ht="15" hidden="false" customHeight="false" outlineLevel="0" collapsed="false">
      <c r="A33" s="26" t="s">
        <v>165</v>
      </c>
      <c r="B33" s="14" t="s">
        <v>51</v>
      </c>
      <c r="C33" s="32" t="n">
        <f aca="false">SUM(C27:C32)</f>
        <v>118584</v>
      </c>
      <c r="D33" s="32" t="n">
        <f aca="false">SUM(D27:D32)</f>
        <v>272121.888</v>
      </c>
      <c r="E33" s="32" t="n">
        <f aca="false">SUM(E27:E32)</f>
        <v>580859.294885211</v>
      </c>
      <c r="F33" s="32" t="n">
        <f aca="false">SUM(F27:F32)</f>
        <v>1198581.79385356</v>
      </c>
      <c r="G33" s="32" t="n">
        <f aca="false">SUM(G27:G32)</f>
        <v>2124656.04951603</v>
      </c>
      <c r="H33" s="32" t="n">
        <f aca="false">SUM(H27:H32)</f>
        <v>3575059.81449643</v>
      </c>
      <c r="I33" s="32" t="n">
        <f aca="false">SUM(I27:I32)</f>
        <v>5768969.57957921</v>
      </c>
      <c r="J33" s="32" t="n">
        <f aca="false">SUM(J27:J32)</f>
        <v>9222510.76705608</v>
      </c>
      <c r="K33" s="32" t="n">
        <f aca="false">SUM(K27:K32)</f>
        <v>14651424.6103192</v>
      </c>
      <c r="L33" s="32" t="n">
        <f aca="false">SUM(L27:L32)</f>
        <v>20026060.6895797</v>
      </c>
      <c r="M33" s="32" t="n">
        <f aca="false">SUM(M27:M32)</f>
        <v>26721735.259946</v>
      </c>
      <c r="N33" s="32" t="n">
        <f aca="false">SUM(N27:N32)</f>
        <v>35037689.4898856</v>
      </c>
      <c r="O33" s="32" t="n">
        <f aca="false">SUM(O27:O32)</f>
        <v>45337706.4581537</v>
      </c>
      <c r="P33" s="32" t="n">
        <f aca="false">SUM(P27:P32)</f>
        <v>58063828.2001288</v>
      </c>
      <c r="Q33" s="32" t="n">
        <f aca="false">SUM(Q27:Q32)</f>
        <v>73752974.264957</v>
      </c>
      <c r="R33" s="32" t="n">
        <f aca="false">SUM(R27:R32)</f>
        <v>93057081.0817014</v>
      </c>
      <c r="S33" s="32" t="n">
        <f aca="false">SUM(S27:S32)</f>
        <v>116767516.35261</v>
      </c>
      <c r="T33" s="32" t="n">
        <f aca="false">SUM(T27:T32)</f>
        <v>145844688.008537</v>
      </c>
      <c r="U33" s="32" t="n">
        <f aca="false">SUM(U27:U32)</f>
        <v>181453970.139736</v>
      </c>
      <c r="V33" s="32" t="n">
        <f aca="false">SUM(V27:V32)</f>
        <v>225009317.699339</v>
      </c>
    </row>
    <row r="35" customFormat="false" ht="15" hidden="false" customHeight="false" outlineLevel="0" collapsed="false">
      <c r="A35" s="11" t="s">
        <v>166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customFormat="false" ht="15" hidden="false" customHeight="false" outlineLevel="0" collapsed="false">
      <c r="A36" s="33" t="s">
        <v>167</v>
      </c>
      <c r="B36" s="14" t="s">
        <v>51</v>
      </c>
      <c r="C36" s="34" t="n">
        <f aca="false">C13+C24+C33</f>
        <v>309540</v>
      </c>
      <c r="D36" s="34" t="n">
        <f aca="false">D13+D24+D33</f>
        <v>898973.861052632</v>
      </c>
      <c r="E36" s="34" t="n">
        <f aca="false">E13+E24+E33</f>
        <v>2095808.03885092</v>
      </c>
      <c r="F36" s="34" t="n">
        <f aca="false">F13+F24+F33</f>
        <v>4512654.99602128</v>
      </c>
      <c r="G36" s="34" t="n">
        <f aca="false">G13+G24+G33</f>
        <v>8764249.24342525</v>
      </c>
      <c r="H36" s="34" t="n">
        <f aca="false">H13+H24+H33</f>
        <v>15441277.5826215</v>
      </c>
      <c r="I36" s="34" t="n">
        <f aca="false">I13+I24+I33</f>
        <v>25502544.6824086</v>
      </c>
      <c r="J36" s="34" t="n">
        <f aca="false">J13+J24+J33</f>
        <v>41426302.8639341</v>
      </c>
      <c r="K36" s="34" t="n">
        <f aca="false">K13+K24+K33</f>
        <v>66597309.0555643</v>
      </c>
      <c r="L36" s="34" t="n">
        <f aca="false">L13+L24+L33</f>
        <v>97175200.2446802</v>
      </c>
      <c r="M36" s="34" t="n">
        <f aca="false">M13+M24+M33</f>
        <v>135098287.876395</v>
      </c>
      <c r="N36" s="34" t="n">
        <f aca="false">N13+N24+N33</f>
        <v>182028887.046609</v>
      </c>
      <c r="O36" s="34" t="n">
        <f aca="false">O13+O24+O33</f>
        <v>239989774.380489</v>
      </c>
      <c r="P36" s="34" t="n">
        <f aca="false">P13+P24+P33</f>
        <v>311440526.015937</v>
      </c>
      <c r="Q36" s="34" t="n">
        <f aca="false">Q13+Q24+Q33</f>
        <v>399370044.855744</v>
      </c>
      <c r="R36" s="34" t="n">
        <f aca="false">R13+R24+R33</f>
        <v>507408728.419121</v>
      </c>
      <c r="S36" s="34" t="n">
        <f aca="false">S13+S24+S33</f>
        <v>639964481.118072</v>
      </c>
      <c r="T36" s="34" t="n">
        <f aca="false">T13+T24+T33</f>
        <v>802387696.766949</v>
      </c>
      <c r="U36" s="34" t="n">
        <f aca="false">U13+U24+U33</f>
        <v>1001171468.55884</v>
      </c>
      <c r="V36" s="34" t="n">
        <f aca="false">V13+V24+V33</f>
        <v>1244194674.49309</v>
      </c>
    </row>
    <row r="37" customFormat="false" ht="15" hidden="false" customHeight="false" outlineLevel="0" collapsed="false">
      <c r="A37" s="13" t="s">
        <v>168</v>
      </c>
      <c r="B37" s="14" t="s">
        <v>44</v>
      </c>
      <c r="C37" s="28" t="str">
        <f aca="false">"-"</f>
        <v>-</v>
      </c>
      <c r="D37" s="28" t="n">
        <f aca="false">IF(C36=0,"-",D36/C36-1)</f>
        <v>1.90422517623775</v>
      </c>
      <c r="E37" s="28" t="n">
        <f aca="false">IF(D36=0,"-",E36/D36-1)</f>
        <v>1.33133367904255</v>
      </c>
      <c r="F37" s="28" t="n">
        <f aca="false">IF(E36=0,"-",F36/E36-1)</f>
        <v>1.15318145191172</v>
      </c>
      <c r="G37" s="28" t="n">
        <f aca="false">IF(F36=0,"-",G36/F36-1)</f>
        <v>0.942149189590722</v>
      </c>
      <c r="H37" s="28" t="n">
        <f aca="false">IF(G36=0,"-",H36/G36-1)</f>
        <v>0.761848294559313</v>
      </c>
      <c r="I37" s="28" t="n">
        <f aca="false">IF(H36=0,"-",I36/H36-1)</f>
        <v>0.65158255500248</v>
      </c>
      <c r="J37" s="28" t="n">
        <f aca="false">IF(I36=0,"-",J36/I36-1)</f>
        <v>0.624398795486067</v>
      </c>
      <c r="K37" s="28" t="n">
        <f aca="false">IF(J36=0,"-",K36/J36-1)</f>
        <v>0.607609283268776</v>
      </c>
      <c r="L37" s="28" t="n">
        <f aca="false">IF(K36=0,"-",L36/K36-1)</f>
        <v>0.459146046931172</v>
      </c>
      <c r="M37" s="28" t="n">
        <f aca="false">IF(L36=0,"-",M36/L36-1)</f>
        <v>0.390254792747808</v>
      </c>
      <c r="N37" s="28" t="n">
        <f aca="false">IF(M36=0,"-",N36/M36-1)</f>
        <v>0.347381154179779</v>
      </c>
      <c r="O37" s="28" t="n">
        <f aca="false">IF(N36=0,"-",O36/N36-1)</f>
        <v>0.318415874943188</v>
      </c>
      <c r="P37" s="28" t="n">
        <f aca="false">IF(O36=0,"-",P36/O36-1)</f>
        <v>0.297724150205529</v>
      </c>
      <c r="Q37" s="28" t="n">
        <f aca="false">IF(P36=0,"-",Q36/P36-1)</f>
        <v>0.28233165402279</v>
      </c>
      <c r="R37" s="28" t="n">
        <f aca="false">IF(Q36=0,"-",R36/Q36-1)</f>
        <v>0.270522751906445</v>
      </c>
      <c r="S37" s="28" t="n">
        <f aca="false">IF(R36=0,"-",S36/R36-1)</f>
        <v>0.261240584315411</v>
      </c>
      <c r="T37" s="28" t="n">
        <f aca="false">IF(S36=0,"-",T36/S36-1)</f>
        <v>0.253800359927961</v>
      </c>
      <c r="U37" s="28" t="n">
        <f aca="false">IF(T36=0,"-",U36/T36-1)</f>
        <v>0.247740303836721</v>
      </c>
      <c r="V37" s="28" t="n">
        <f aca="false">IF(U36=0,"-",V36/U36-1)</f>
        <v>0.242738845009312</v>
      </c>
    </row>
    <row r="38" customFormat="false" ht="15" hidden="false" customHeight="false" outlineLevel="0" collapsed="false">
      <c r="A38" s="13" t="s">
        <v>169</v>
      </c>
      <c r="B38" s="14" t="s">
        <v>44</v>
      </c>
      <c r="C38" s="28" t="n">
        <f aca="false">IF(C36=0,"-",(C13+C24)/C36)</f>
        <v>0.61690250048459</v>
      </c>
      <c r="D38" s="28" t="n">
        <f aca="false">IF(D36=0,"-",(D13+D24)/D36)</f>
        <v>0.697297218762996</v>
      </c>
      <c r="E38" s="28" t="n">
        <f aca="false">IF(E36=0,"-",(E13+E24)/E36)</f>
        <v>0.722847090898801</v>
      </c>
      <c r="F38" s="28" t="n">
        <f aca="false">IF(F36=0,"-",(F13+F24)/F36)</f>
        <v>0.734395429096546</v>
      </c>
      <c r="G38" s="28" t="n">
        <f aca="false">IF(G36=0,"-",(G13+G24)/G36)</f>
        <v>0.757576948064331</v>
      </c>
      <c r="H38" s="28" t="n">
        <f aca="false">IF(H36=0,"-",(H13+H24)/H36)</f>
        <v>0.768473832856939</v>
      </c>
      <c r="I38" s="28" t="n">
        <f aca="false">IF(I36=0,"-",(I13+I24)/I36)</f>
        <v>0.773788472820181</v>
      </c>
      <c r="J38" s="28" t="n">
        <f aca="false">IF(J36=0,"-",(J13+J24)/J36)</f>
        <v>0.777375480564904</v>
      </c>
      <c r="K38" s="28" t="n">
        <f aca="false">IF(K36=0,"-",(K13+K24)/K36)</f>
        <v>0.779999750468971</v>
      </c>
      <c r="L38" s="28" t="n">
        <f aca="false">IF(L36=0,"-",(L13+L24)/L36)</f>
        <v>0.793917988960604</v>
      </c>
      <c r="M38" s="28" t="n">
        <f aca="false">IF(M36=0,"-",(M13+M24)/M36)</f>
        <v>0.802205226431926</v>
      </c>
      <c r="N38" s="28" t="n">
        <f aca="false">IF(N36=0,"-",(N13+N24)/N36)</f>
        <v>0.807515773686436</v>
      </c>
      <c r="O38" s="28" t="n">
        <f aca="false">IF(O36=0,"-",(O13+O24)/O36)</f>
        <v>0.811084840697114</v>
      </c>
      <c r="P38" s="28" t="n">
        <f aca="false">IF(P36=0,"-",(P13+P24)/P36)</f>
        <v>0.81356367155263</v>
      </c>
      <c r="Q38" s="28" t="n">
        <f aca="false">IF(Q36=0,"-",(Q13+Q24)/Q36)</f>
        <v>0.815326724638055</v>
      </c>
      <c r="R38" s="28" t="n">
        <f aca="false">IF(R36=0,"-",(R13+R24)/R36)</f>
        <v>0.816603310369474</v>
      </c>
      <c r="S38" s="28" t="n">
        <f aca="false">IF(S36=0,"-",(S13+S24)/S36)</f>
        <v>0.817540629522739</v>
      </c>
      <c r="T38" s="28" t="n">
        <f aca="false">IF(T36=0,"-",(T13+T24)/T36)</f>
        <v>0.818236634738809</v>
      </c>
      <c r="U38" s="28" t="n">
        <f aca="false">IF(U36=0,"-",(U13+U24)/U36)</f>
        <v>0.818758348756249</v>
      </c>
      <c r="V38" s="28" t="n">
        <f aca="false">IF(V36=0,"-",(V13+V24)/V36)</f>
        <v>0.819152643623867</v>
      </c>
    </row>
    <row r="39" customFormat="false" ht="15" hidden="false" customHeight="false" outlineLevel="0" collapsed="false">
      <c r="A39" s="13" t="s">
        <v>170</v>
      </c>
      <c r="B39" s="14" t="s">
        <v>51</v>
      </c>
      <c r="C39" s="30" t="n">
        <f aca="false">IF(Customers!C13=0,"-",C36/Customers!C13)</f>
        <v>10318</v>
      </c>
      <c r="D39" s="30" t="n">
        <f aca="false">IF(Customers!D13=0,"-",D36/Customers!D13)</f>
        <v>7980.23844698297</v>
      </c>
      <c r="E39" s="30" t="n">
        <f aca="false">IF(Customers!E13=0,"-",E36/Customers!E13)</f>
        <v>8061.35049162365</v>
      </c>
      <c r="F39" s="30" t="n">
        <f aca="false">IF(Customers!F13=0,"-",F36/Customers!F13)</f>
        <v>8561.00587182313</v>
      </c>
      <c r="G39" s="30" t="n">
        <f aca="false">IF(Customers!G13=0,"-",G36/Customers!G13)</f>
        <v>9286.74468552039</v>
      </c>
      <c r="H39" s="30" t="n">
        <f aca="false">IF(Customers!H13=0,"-",H36/Customers!H13)</f>
        <v>10041.6580268996</v>
      </c>
      <c r="I39" s="30" t="n">
        <f aca="false">IF(Customers!I13=0,"-",I36/Customers!I13)</f>
        <v>10658.9785529156</v>
      </c>
      <c r="J39" s="30" t="n">
        <f aca="false">IF(Customers!J13=0,"-",J36/Customers!J13)</f>
        <v>11410.9594272591</v>
      </c>
      <c r="K39" s="30" t="n">
        <f aca="false">IF(Customers!K13=0,"-",K36/Customers!K13)</f>
        <v>12265.5883436027</v>
      </c>
      <c r="L39" s="30" t="n">
        <f aca="false">IF(Customers!L13=0,"-",L36/Customers!L13)</f>
        <v>12751.6687373143</v>
      </c>
      <c r="M39" s="30" t="n">
        <f aca="false">IF(Customers!M13=0,"-",M36/Customers!M13)</f>
        <v>13589.6043931104</v>
      </c>
      <c r="N39" s="30" t="n">
        <f aca="false">IF(Customers!N13=0,"-",N36/Customers!N13)</f>
        <v>14656.1773275378</v>
      </c>
      <c r="O39" s="30" t="n">
        <f aca="false">IF(Customers!O13=0,"-",O36/Customers!O13)</f>
        <v>15906.9924824647</v>
      </c>
      <c r="P39" s="30" t="n">
        <f aca="false">IF(Customers!P13=0,"-",P36/Customers!P13)</f>
        <v>17325.449423778</v>
      </c>
      <c r="Q39" s="30" t="n">
        <f aca="false">IF(Customers!Q13=0,"-",Q36/Customers!Q13)</f>
        <v>18907.0287008983</v>
      </c>
      <c r="R39" s="30" t="n">
        <f aca="false">IF(Customers!R13=0,"-",R36/Customers!R13)</f>
        <v>20653.3646829029</v>
      </c>
      <c r="S39" s="30" t="n">
        <f aca="false">IF(Customers!S13=0,"-",S36/Customers!S13)</f>
        <v>22569.6980465564</v>
      </c>
      <c r="T39" s="30" t="n">
        <f aca="false">IF(Customers!T13=0,"-",T36/Customers!T13)</f>
        <v>24663.6891587253</v>
      </c>
      <c r="U39" s="30" t="n">
        <f aca="false">IF(Customers!U13=0,"-",U36/Customers!U13)</f>
        <v>26944.8473448498</v>
      </c>
      <c r="V39" s="30" t="n">
        <f aca="false">IF(Customers!V13=0,"-",V36/Customers!V13)</f>
        <v>29424.2670085448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2" min="2" style="0" width="11"/>
  </cols>
  <sheetData>
    <row r="1" customFormat="false" ht="18.55" hidden="false" customHeight="false" outlineLevel="0" collapsed="false">
      <c r="A1" s="5" t="s">
        <v>171</v>
      </c>
    </row>
    <row r="2" customFormat="false" ht="15" hidden="false" customHeight="false" outlineLevel="0" collapsed="false">
      <c r="A2" s="6" t="s">
        <v>172</v>
      </c>
    </row>
    <row r="5" customFormat="false" ht="15" hidden="false" customHeight="false" outlineLevel="0" collapsed="false">
      <c r="A5" s="23"/>
      <c r="B5" s="10" t="s">
        <v>35</v>
      </c>
      <c r="C5" s="10" t="s">
        <v>104</v>
      </c>
      <c r="D5" s="10" t="s">
        <v>105</v>
      </c>
      <c r="E5" s="10" t="s">
        <v>106</v>
      </c>
      <c r="F5" s="10" t="s">
        <v>107</v>
      </c>
      <c r="G5" s="10" t="s">
        <v>108</v>
      </c>
      <c r="H5" s="10" t="s">
        <v>109</v>
      </c>
      <c r="I5" s="10" t="s">
        <v>110</v>
      </c>
      <c r="J5" s="10" t="s">
        <v>111</v>
      </c>
      <c r="K5" s="10" t="s">
        <v>112</v>
      </c>
      <c r="L5" s="10" t="s">
        <v>113</v>
      </c>
      <c r="M5" s="10" t="s">
        <v>114</v>
      </c>
      <c r="N5" s="10" t="s">
        <v>115</v>
      </c>
      <c r="O5" s="10" t="s">
        <v>116</v>
      </c>
      <c r="P5" s="10" t="s">
        <v>117</v>
      </c>
      <c r="Q5" s="10" t="s">
        <v>118</v>
      </c>
      <c r="R5" s="10" t="s">
        <v>119</v>
      </c>
      <c r="S5" s="10" t="s">
        <v>120</v>
      </c>
      <c r="T5" s="10" t="s">
        <v>121</v>
      </c>
      <c r="U5" s="10" t="s">
        <v>122</v>
      </c>
      <c r="V5" s="10" t="s">
        <v>123</v>
      </c>
    </row>
    <row r="7" customFormat="false" ht="15" hidden="false" customHeight="false" outlineLevel="0" collapsed="false">
      <c r="A7" s="33" t="s">
        <v>173</v>
      </c>
      <c r="B7" s="14" t="s">
        <v>51</v>
      </c>
      <c r="C7" s="35" t="n">
        <f aca="false">Revenue!C36</f>
        <v>309540</v>
      </c>
      <c r="D7" s="35" t="n">
        <f aca="false">Revenue!D36</f>
        <v>898973.861052632</v>
      </c>
      <c r="E7" s="35" t="n">
        <f aca="false">Revenue!E36</f>
        <v>2095808.03885092</v>
      </c>
      <c r="F7" s="35" t="n">
        <f aca="false">Revenue!F36</f>
        <v>4512654.99602128</v>
      </c>
      <c r="G7" s="35" t="n">
        <f aca="false">Revenue!G36</f>
        <v>8764249.24342525</v>
      </c>
      <c r="H7" s="35" t="n">
        <f aca="false">Revenue!H36</f>
        <v>15441277.5826215</v>
      </c>
      <c r="I7" s="35" t="n">
        <f aca="false">Revenue!I36</f>
        <v>25502544.6824086</v>
      </c>
      <c r="J7" s="35" t="n">
        <f aca="false">Revenue!J36</f>
        <v>41426302.8639341</v>
      </c>
      <c r="K7" s="35" t="n">
        <f aca="false">Revenue!K36</f>
        <v>66597309.0555643</v>
      </c>
      <c r="L7" s="35" t="n">
        <f aca="false">Revenue!L36</f>
        <v>97175200.2446802</v>
      </c>
      <c r="M7" s="35" t="n">
        <f aca="false">Revenue!M36</f>
        <v>135098287.876395</v>
      </c>
      <c r="N7" s="35" t="n">
        <f aca="false">Revenue!N36</f>
        <v>182028887.046609</v>
      </c>
      <c r="O7" s="35" t="n">
        <f aca="false">Revenue!O36</f>
        <v>239989774.380489</v>
      </c>
      <c r="P7" s="35" t="n">
        <f aca="false">Revenue!P36</f>
        <v>311440526.015937</v>
      </c>
      <c r="Q7" s="35" t="n">
        <f aca="false">Revenue!Q36</f>
        <v>399370044.855744</v>
      </c>
      <c r="R7" s="35" t="n">
        <f aca="false">Revenue!R36</f>
        <v>507408728.419121</v>
      </c>
      <c r="S7" s="35" t="n">
        <f aca="false">Revenue!S36</f>
        <v>639964481.118072</v>
      </c>
      <c r="T7" s="35" t="n">
        <f aca="false">Revenue!T36</f>
        <v>802387696.766949</v>
      </c>
      <c r="U7" s="35" t="n">
        <f aca="false">Revenue!U36</f>
        <v>1001171468.55884</v>
      </c>
      <c r="V7" s="35" t="n">
        <f aca="false">Revenue!V36</f>
        <v>1244194674.49309</v>
      </c>
    </row>
    <row r="8" customFormat="false" ht="15" hidden="false" customHeight="false" outlineLevel="0" collapsed="false">
      <c r="A8" s="13" t="s">
        <v>174</v>
      </c>
      <c r="B8" s="14" t="s">
        <v>44</v>
      </c>
      <c r="C8" s="36" t="n">
        <f aca="false">Assumptions!$F$47+(Assumptions!$F$48-Assumptions!$F$47)*MIN(0/13,1)</f>
        <v>0.52</v>
      </c>
      <c r="D8" s="36" t="n">
        <f aca="false">Assumptions!$F$47+(Assumptions!$F$48-Assumptions!$F$47)*MIN(1/13,1)</f>
        <v>0.538461538461538</v>
      </c>
      <c r="E8" s="36" t="n">
        <f aca="false">Assumptions!$F$47+(Assumptions!$F$48-Assumptions!$F$47)*MIN(2/13,1)</f>
        <v>0.556923076923077</v>
      </c>
      <c r="F8" s="36" t="n">
        <f aca="false">Assumptions!$F$47+(Assumptions!$F$48-Assumptions!$F$47)*MIN(3/13,1)</f>
        <v>0.575384615384615</v>
      </c>
      <c r="G8" s="36" t="n">
        <f aca="false">Assumptions!$F$47+(Assumptions!$F$48-Assumptions!$F$47)*MIN(4/13,1)</f>
        <v>0.593846153846154</v>
      </c>
      <c r="H8" s="36" t="n">
        <f aca="false">Assumptions!$F$47+(Assumptions!$F$48-Assumptions!$F$47)*MIN(5/13,1)</f>
        <v>0.612307692307692</v>
      </c>
      <c r="I8" s="36" t="n">
        <f aca="false">Assumptions!$F$47+(Assumptions!$F$48-Assumptions!$F$47)*MIN(6/13,1)</f>
        <v>0.630769230769231</v>
      </c>
      <c r="J8" s="36" t="n">
        <f aca="false">Assumptions!$F$47+(Assumptions!$F$48-Assumptions!$F$47)*MIN(7/13,1)</f>
        <v>0.649230769230769</v>
      </c>
      <c r="K8" s="36" t="n">
        <f aca="false">Assumptions!$F$47+(Assumptions!$F$48-Assumptions!$F$47)*MIN(8/13,1)</f>
        <v>0.667692307692308</v>
      </c>
      <c r="L8" s="36" t="n">
        <f aca="false">Assumptions!$F$47+(Assumptions!$F$48-Assumptions!$F$47)*MIN(9/13,1)</f>
        <v>0.686153846153846</v>
      </c>
      <c r="M8" s="36" t="n">
        <f aca="false">Assumptions!$F$47+(Assumptions!$F$48-Assumptions!$F$47)*MIN(10/13,1)</f>
        <v>0.704615384615385</v>
      </c>
      <c r="N8" s="36" t="n">
        <f aca="false">Assumptions!$F$47+(Assumptions!$F$48-Assumptions!$F$47)*MIN(11/13,1)</f>
        <v>0.723076923076923</v>
      </c>
      <c r="O8" s="36" t="n">
        <f aca="false">Assumptions!$F$47+(Assumptions!$F$48-Assumptions!$F$47)*MIN(12/13,1)</f>
        <v>0.741538461538462</v>
      </c>
      <c r="P8" s="36" t="n">
        <f aca="false">Assumptions!$F$47+(Assumptions!$F$48-Assumptions!$F$47)*MIN(13/13,1)</f>
        <v>0.76</v>
      </c>
      <c r="Q8" s="36" t="n">
        <f aca="false">Assumptions!$F$47+(Assumptions!$F$48-Assumptions!$F$47)*MIN(14/13,1)</f>
        <v>0.76</v>
      </c>
      <c r="R8" s="36" t="n">
        <f aca="false">Assumptions!$F$47+(Assumptions!$F$48-Assumptions!$F$47)*MIN(15/13,1)</f>
        <v>0.76</v>
      </c>
      <c r="S8" s="36" t="n">
        <f aca="false">Assumptions!$F$47+(Assumptions!$F$48-Assumptions!$F$47)*MIN(16/13,1)</f>
        <v>0.76</v>
      </c>
      <c r="T8" s="36" t="n">
        <f aca="false">Assumptions!$F$47+(Assumptions!$F$48-Assumptions!$F$47)*MIN(17/13,1)</f>
        <v>0.76</v>
      </c>
      <c r="U8" s="36" t="n">
        <f aca="false">Assumptions!$F$47+(Assumptions!$F$48-Assumptions!$F$47)*MIN(18/13,1)</f>
        <v>0.76</v>
      </c>
      <c r="V8" s="36" t="n">
        <f aca="false">Assumptions!$F$47+(Assumptions!$F$48-Assumptions!$F$47)*MIN(19/13,1)</f>
        <v>0.76</v>
      </c>
    </row>
    <row r="9" customFormat="false" ht="15" hidden="false" customHeight="false" outlineLevel="0" collapsed="false">
      <c r="A9" s="33" t="s">
        <v>175</v>
      </c>
      <c r="B9" s="14" t="s">
        <v>51</v>
      </c>
      <c r="C9" s="32" t="n">
        <f aca="false">C7*C8</f>
        <v>160960.8</v>
      </c>
      <c r="D9" s="32" t="n">
        <f aca="false">D7*D8</f>
        <v>484062.848259109</v>
      </c>
      <c r="E9" s="32" t="n">
        <f aca="false">E7*E8</f>
        <v>1167203.86163697</v>
      </c>
      <c r="F9" s="32" t="n">
        <f aca="false">F7*F8</f>
        <v>2596512.25924917</v>
      </c>
      <c r="G9" s="32" t="n">
        <f aca="false">G7*G8</f>
        <v>5204615.70455715</v>
      </c>
      <c r="H9" s="32" t="n">
        <f aca="false">H7*H8</f>
        <v>9454813.04289748</v>
      </c>
      <c r="I9" s="32" t="n">
        <f aca="false">I7*I8</f>
        <v>16086220.4919808</v>
      </c>
      <c r="J9" s="32" t="n">
        <f aca="false">J7*J8</f>
        <v>26895230.4747387</v>
      </c>
      <c r="K9" s="32" t="n">
        <f aca="false">K7*K8</f>
        <v>44466510.9694076</v>
      </c>
      <c r="L9" s="32" t="n">
        <f aca="false">L7*L8</f>
        <v>66677137.3986575</v>
      </c>
      <c r="M9" s="32" t="n">
        <f aca="false">M7*M8</f>
        <v>95192332.0729057</v>
      </c>
      <c r="N9" s="32" t="n">
        <f aca="false">N7*N8</f>
        <v>131620887.556779</v>
      </c>
      <c r="O9" s="32" t="n">
        <f aca="false">O7*O8</f>
        <v>177961648.07907</v>
      </c>
      <c r="P9" s="32" t="n">
        <f aca="false">P7*P8</f>
        <v>236694799.772112</v>
      </c>
      <c r="Q9" s="32" t="n">
        <f aca="false">Q7*Q8</f>
        <v>303521234.090366</v>
      </c>
      <c r="R9" s="32" t="n">
        <f aca="false">R7*R8</f>
        <v>385630633.598532</v>
      </c>
      <c r="S9" s="32" t="n">
        <f aca="false">S7*S8</f>
        <v>486373005.649735</v>
      </c>
      <c r="T9" s="32" t="n">
        <f aca="false">T7*T8</f>
        <v>609814649.542881</v>
      </c>
      <c r="U9" s="32" t="n">
        <f aca="false">U7*U8</f>
        <v>760890316.104718</v>
      </c>
      <c r="V9" s="32" t="n">
        <f aca="false">V7*V8</f>
        <v>945587952.614748</v>
      </c>
    </row>
    <row r="10" customFormat="false" ht="15" hidden="false" customHeight="false" outlineLevel="0" collapsed="false">
      <c r="A10" s="13" t="s">
        <v>176</v>
      </c>
      <c r="B10" s="14" t="s">
        <v>51</v>
      </c>
      <c r="C10" s="30" t="n">
        <f aca="false">-(C7-C9)</f>
        <v>-148579.2</v>
      </c>
      <c r="D10" s="30" t="n">
        <f aca="false">-(D7-D9)</f>
        <v>-414911.012793522</v>
      </c>
      <c r="E10" s="30" t="n">
        <f aca="false">-(E7-E9)</f>
        <v>-928604.177213947</v>
      </c>
      <c r="F10" s="30" t="n">
        <f aca="false">-(F7-F9)</f>
        <v>-1916142.73677211</v>
      </c>
      <c r="G10" s="30" t="n">
        <f aca="false">-(G7-G9)</f>
        <v>-3559633.5388681</v>
      </c>
      <c r="H10" s="30" t="n">
        <f aca="false">-(H7-H9)</f>
        <v>-5986464.53972404</v>
      </c>
      <c r="I10" s="30" t="n">
        <f aca="false">-(I7-I9)</f>
        <v>-9416324.19042778</v>
      </c>
      <c r="J10" s="30" t="n">
        <f aca="false">-(J7-J9)</f>
        <v>-14531072.3891953</v>
      </c>
      <c r="K10" s="30" t="n">
        <f aca="false">-(K7-K9)</f>
        <v>-22130798.0861568</v>
      </c>
      <c r="L10" s="30" t="n">
        <f aca="false">-(L7-L9)</f>
        <v>-30498062.8460227</v>
      </c>
      <c r="M10" s="30" t="n">
        <f aca="false">-(M7-M9)</f>
        <v>-39905955.8034889</v>
      </c>
      <c r="N10" s="30" t="n">
        <f aca="false">-(N7-N9)</f>
        <v>-50407999.4898301</v>
      </c>
      <c r="O10" s="30" t="n">
        <f aca="false">-(O7-O9)</f>
        <v>-62028126.3014188</v>
      </c>
      <c r="P10" s="30" t="n">
        <f aca="false">-(P7-P9)</f>
        <v>-74745726.2438249</v>
      </c>
      <c r="Q10" s="30" t="n">
        <f aca="false">-(Q7-Q9)</f>
        <v>-95848810.7653787</v>
      </c>
      <c r="R10" s="30" t="n">
        <f aca="false">-(R7-R9)</f>
        <v>-121778094.820589</v>
      </c>
      <c r="S10" s="30" t="n">
        <f aca="false">-(S7-S9)</f>
        <v>-153591475.468337</v>
      </c>
      <c r="T10" s="30" t="n">
        <f aca="false">-(T7-T9)</f>
        <v>-192573047.224068</v>
      </c>
      <c r="U10" s="30" t="n">
        <f aca="false">-(U7-U9)</f>
        <v>-240281152.454121</v>
      </c>
      <c r="V10" s="30" t="n">
        <f aca="false">-(V7-V9)</f>
        <v>-298606721.878341</v>
      </c>
    </row>
    <row r="12" customFormat="false" ht="15" hidden="false" customHeight="false" outlineLevel="0" collapsed="false">
      <c r="A12" s="11" t="s">
        <v>84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customFormat="false" ht="15" hidden="false" customHeight="false" outlineLevel="0" collapsed="false">
      <c r="A13" s="13" t="s">
        <v>177</v>
      </c>
      <c r="B13" s="14" t="s">
        <v>51</v>
      </c>
      <c r="C13" s="31" t="n">
        <f aca="false">-C7*(Assumptions!$F$50+(Assumptions!$F$51-Assumptions!$F$50)*(0/19))</f>
        <v>-92862</v>
      </c>
      <c r="D13" s="31" t="n">
        <f aca="false">-D7*(Assumptions!$F$50+(Assumptions!$F$51-Assumptions!$F$50)*(1/19))</f>
        <v>-263541.28452964</v>
      </c>
      <c r="E13" s="31" t="n">
        <f aca="false">-E7*(Assumptions!$F$50+(Assumptions!$F$51-Assumptions!$F$50)*(2/19))</f>
        <v>-600062.933228895</v>
      </c>
      <c r="F13" s="31" t="n">
        <f aca="false">-F7*(Assumptions!$F$50+(Assumptions!$F$51-Assumptions!$F$50)*(3/19))</f>
        <v>-1261168.3173091</v>
      </c>
      <c r="G13" s="31" t="n">
        <f aca="false">-G7*(Assumptions!$F$50+(Assumptions!$F$51-Assumptions!$F$50)*(4/19))</f>
        <v>-2389411.1095233</v>
      </c>
      <c r="H13" s="31" t="n">
        <f aca="false">-H7*(Assumptions!$F$50+(Assumptions!$F$51-Assumptions!$F$50)*(5/19))</f>
        <v>-4104129.04169677</v>
      </c>
      <c r="I13" s="31" t="n">
        <f aca="false">-I7*(Assumptions!$F$50+(Assumptions!$F$51-Assumptions!$F$50)*(6/19))</f>
        <v>-6603816.83355001</v>
      </c>
      <c r="J13" s="31" t="n">
        <f aca="false">-J7*(Assumptions!$F$50+(Assumptions!$F$51-Assumptions!$F$50)*(7/19))</f>
        <v>-10443788.9851708</v>
      </c>
      <c r="K13" s="31" t="n">
        <f aca="false">-K7*(Assumptions!$F$50+(Assumptions!$F$51-Assumptions!$F$50)*(8/19))</f>
        <v>-16333866.3262595</v>
      </c>
      <c r="L13" s="31" t="n">
        <f aca="false">-L7*(Assumptions!$F$50+(Assumptions!$F$51-Assumptions!$F$50)*(9/19))</f>
        <v>-23168613.5320211</v>
      </c>
      <c r="M13" s="31" t="n">
        <f aca="false">-M7*(Assumptions!$F$50+(Assumptions!$F$51-Assumptions!$F$50)*(10/19))</f>
        <v>-31285919.2976914</v>
      </c>
      <c r="N13" s="31" t="n">
        <f aca="false">-N7*(Assumptions!$F$50+(Assumptions!$F$51-Assumptions!$F$50)*(11/19))</f>
        <v>-40908597.2467905</v>
      </c>
      <c r="O13" s="31" t="n">
        <f aca="false">-O7*(Assumptions!$F$50+(Assumptions!$F$51-Assumptions!$F$50)*(12/19))</f>
        <v>-52292508.7334329</v>
      </c>
      <c r="P13" s="31" t="n">
        <f aca="false">-P7*(Assumptions!$F$50+(Assumptions!$F$51-Assumptions!$F$50)*(13/19))</f>
        <v>-65730342.5959952</v>
      </c>
      <c r="Q13" s="31" t="n">
        <f aca="false">-Q7*(Assumptions!$F$50+(Assumptions!$F$51-Assumptions!$F$50)*(14/19))</f>
        <v>-81555567.054752</v>
      </c>
      <c r="R13" s="31" t="n">
        <f aca="false">-R7*(Assumptions!$F$50+(Assumptions!$F$51-Assumptions!$F$50)*(15/19))</f>
        <v>-100146459.556405</v>
      </c>
      <c r="S13" s="31" t="n">
        <f aca="false">-S7*(Assumptions!$F$50+(Assumptions!$F$51-Assumptions!$F$50)*(16/19))</f>
        <v>-121930074.823548</v>
      </c>
      <c r="T13" s="31" t="n">
        <f aca="false">-T7*(Assumptions!$F$50+(Assumptions!$F$51-Assumptions!$F$50)*(17/19))</f>
        <v>-147385950.616666</v>
      </c>
      <c r="U13" s="31" t="n">
        <f aca="false">-U7*(Assumptions!$F$50+(Assumptions!$F$51-Assumptions!$F$50)*(18/19))</f>
        <v>-177049270.229353</v>
      </c>
      <c r="V13" s="31" t="n">
        <f aca="false">-V7*(Assumptions!$F$50+(Assumptions!$F$51-Assumptions!$F$50)*(19/19))</f>
        <v>-211513094.663825</v>
      </c>
    </row>
    <row r="14" customFormat="false" ht="15" hidden="false" customHeight="false" outlineLevel="0" collapsed="false">
      <c r="A14" s="13" t="s">
        <v>178</v>
      </c>
      <c r="B14" s="14" t="s">
        <v>51</v>
      </c>
      <c r="C14" s="31" t="n">
        <f aca="false">-C7*(Assumptions!$F$52+(Assumptions!$F$53-Assumptions!$F$52)*(0/19))</f>
        <v>-86671.2</v>
      </c>
      <c r="D14" s="31" t="n">
        <f aca="false">-D7*(Assumptions!$F$52+(Assumptions!$F$53-Assumptions!$F$52)*(1/19))</f>
        <v>-246508.09558338</v>
      </c>
      <c r="E14" s="31" t="n">
        <f aca="false">-E7*(Assumptions!$F$52+(Assumptions!$F$53-Assumptions!$F$52)*(2/19))</f>
        <v>-562558.999902089</v>
      </c>
      <c r="F14" s="31" t="n">
        <f aca="false">-F7*(Assumptions!$F$52+(Assumptions!$F$53-Assumptions!$F$52)*(3/19))</f>
        <v>-1185165.7068498</v>
      </c>
      <c r="G14" s="31" t="n">
        <f aca="false">-G7*(Assumptions!$F$52+(Assumptions!$F$53-Assumptions!$F$52)*(4/19))</f>
        <v>-2251028.22673238</v>
      </c>
      <c r="H14" s="31" t="n">
        <f aca="false">-H7*(Assumptions!$F$52+(Assumptions!$F$53-Assumptions!$F$52)*(5/19))</f>
        <v>-3876573.37205814</v>
      </c>
      <c r="I14" s="31" t="n">
        <f aca="false">-I7*(Assumptions!$F$52+(Assumptions!$F$53-Assumptions!$F$52)*(6/19))</f>
        <v>-6254834.64315916</v>
      </c>
      <c r="J14" s="31" t="n">
        <f aca="false">-J7*(Assumptions!$F$52+(Assumptions!$F$53-Assumptions!$F$52)*(7/19))</f>
        <v>-9920509.37004737</v>
      </c>
      <c r="K14" s="31" t="n">
        <f aca="false">-K7*(Assumptions!$F$52+(Assumptions!$F$53-Assumptions!$F$52)*(8/19))</f>
        <v>-15562739.5898266</v>
      </c>
      <c r="L14" s="31" t="n">
        <f aca="false">-L7*(Assumptions!$F$52+(Assumptions!$F$53-Assumptions!$F$52)*(9/19))</f>
        <v>-22145716.6873403</v>
      </c>
      <c r="M14" s="31" t="n">
        <f aca="false">-M7*(Assumptions!$F$52+(Assumptions!$F$53-Assumptions!$F$52)*(10/19))</f>
        <v>-30006040.7809676</v>
      </c>
      <c r="N14" s="31" t="n">
        <f aca="false">-N7*(Assumptions!$F$52+(Assumptions!$F$53-Assumptions!$F$52)*(11/19))</f>
        <v>-39375722.4085032</v>
      </c>
      <c r="O14" s="31" t="n">
        <f aca="false">-O7*(Assumptions!$F$52+(Assumptions!$F$53-Assumptions!$F$52)*(12/19))</f>
        <v>-50524163.0274714</v>
      </c>
      <c r="P14" s="31" t="n">
        <f aca="false">-P7*(Assumptions!$F$52+(Assumptions!$F$53-Assumptions!$F$52)*(13/19))</f>
        <v>-63763349.800105</v>
      </c>
      <c r="Q14" s="31" t="n">
        <f aca="false">-Q7*(Assumptions!$F$52+(Assumptions!$F$53-Assumptions!$F$52)*(14/19))</f>
        <v>-79453619.4502481</v>
      </c>
      <c r="R14" s="31" t="n">
        <f aca="false">-R7*(Assumptions!$F$52+(Assumptions!$F$53-Assumptions!$F$52)*(15/19))</f>
        <v>-98010001.7525355</v>
      </c>
      <c r="S14" s="31" t="n">
        <f aca="false">-S7*(Assumptions!$F$52+(Assumptions!$F$53-Assumptions!$F$52)*(16/19))</f>
        <v>-119909134.35686</v>
      </c>
      <c r="T14" s="31" t="n">
        <f aca="false">-T7*(Assumptions!$F$52+(Assumptions!$F$53-Assumptions!$F$52)*(17/19))</f>
        <v>-145696713.360314</v>
      </c>
      <c r="U14" s="31" t="n">
        <f aca="false">-U7*(Assumptions!$F$52+(Assumptions!$F$53-Assumptions!$F$52)*(18/19))</f>
        <v>-175995405.525607</v>
      </c>
      <c r="V14" s="31" t="n">
        <f aca="false">-V7*(Assumptions!$F$52+(Assumptions!$F$53-Assumptions!$F$52)*(19/19))</f>
        <v>-211513094.663825</v>
      </c>
    </row>
    <row r="15" customFormat="false" ht="15" hidden="false" customHeight="false" outlineLevel="0" collapsed="false">
      <c r="A15" s="13" t="s">
        <v>179</v>
      </c>
      <c r="B15" s="14" t="s">
        <v>51</v>
      </c>
      <c r="C15" s="31" t="n">
        <f aca="false">-C7*(Assumptions!$F$54+(Assumptions!$F$55-Assumptions!$F$54)*(0/19))</f>
        <v>-55717.2</v>
      </c>
      <c r="D15" s="31" t="n">
        <f aca="false">-D7*(Assumptions!$F$54+(Assumptions!$F$55-Assumptions!$F$54)*(1/19))</f>
        <v>-157556.997752909</v>
      </c>
      <c r="E15" s="31" t="n">
        <f aca="false">-E7*(Assumptions!$F$54+(Assumptions!$F$55-Assumptions!$F$54)*(2/19))</f>
        <v>-357390.42346721</v>
      </c>
      <c r="F15" s="31" t="n">
        <f aca="false">-F7*(Assumptions!$F$54+(Assumptions!$F$55-Assumptions!$F$54)*(3/19))</f>
        <v>-748150.696708791</v>
      </c>
      <c r="G15" s="31" t="n">
        <f aca="false">-G7*(Assumptions!$F$54+(Assumptions!$F$55-Assumptions!$F$54)*(4/19))</f>
        <v>-1411505.40446743</v>
      </c>
      <c r="H15" s="31" t="n">
        <f aca="false">-H7*(Assumptions!$F$54+(Assumptions!$F$55-Assumptions!$F$54)*(5/19))</f>
        <v>-2413715.49580978</v>
      </c>
      <c r="I15" s="31" t="n">
        <f aca="false">-I7*(Assumptions!$F$54+(Assumptions!$F$55-Assumptions!$F$54)*(6/19))</f>
        <v>-3865648.87817561</v>
      </c>
      <c r="J15" s="31" t="n">
        <f aca="false">-J7*(Assumptions!$F$54+(Assumptions!$F$55-Assumptions!$F$54)*(7/19))</f>
        <v>-6083125.52580927</v>
      </c>
      <c r="K15" s="31" t="n">
        <f aca="false">-K7*(Assumptions!$F$54+(Assumptions!$F$55-Assumptions!$F$54)*(8/19))</f>
        <v>-9463828.12894862</v>
      </c>
      <c r="L15" s="31" t="n">
        <f aca="false">-L7*(Assumptions!$F$54+(Assumptions!$F$55-Assumptions!$F$54)*(9/19))</f>
        <v>-13348803.823085</v>
      </c>
      <c r="M15" s="31" t="n">
        <f aca="false">-M7*(Assumptions!$F$54+(Assumptions!$F$55-Assumptions!$F$54)*(10/19))</f>
        <v>-17918299.2341323</v>
      </c>
      <c r="N15" s="31" t="n">
        <f aca="false">-N7*(Assumptions!$F$54+(Assumptions!$F$55-Assumptions!$F$54)*(11/19))</f>
        <v>-23280536.6064873</v>
      </c>
      <c r="O15" s="31" t="n">
        <f aca="false">-O7*(Assumptions!$F$54+(Assumptions!$F$55-Assumptions!$F$54)*(12/19))</f>
        <v>-29556635.3710708</v>
      </c>
      <c r="P15" s="31" t="n">
        <f aca="false">-P7*(Assumptions!$F$54+(Assumptions!$F$55-Assumptions!$F$54)*(13/19))</f>
        <v>-36881114.9229399</v>
      </c>
      <c r="Q15" s="31" t="n">
        <f aca="false">-Q7*(Assumptions!$F$54+(Assumptions!$F$55-Assumptions!$F$54)*(14/19))</f>
        <v>-45402068.2572846</v>
      </c>
      <c r="R15" s="31" t="n">
        <f aca="false">-R7*(Assumptions!$F$54+(Assumptions!$F$55-Assumptions!$F$54)*(15/19))</f>
        <v>-55280845.6751358</v>
      </c>
      <c r="S15" s="31" t="n">
        <f aca="false">-S7*(Assumptions!$F$54+(Assumptions!$F$55-Assumptions!$F$54)*(16/19))</f>
        <v>-66691035.4007254</v>
      </c>
      <c r="T15" s="31" t="n">
        <f aca="false">-T7*(Assumptions!$F$54+(Assumptions!$F$55-Assumptions!$F$54)*(17/19))</f>
        <v>-79816460.362607</v>
      </c>
      <c r="U15" s="31" t="n">
        <f aca="false">-U7*(Assumptions!$F$54+(Assumptions!$F$55-Assumptions!$F$54)*(18/19))</f>
        <v>-94847823.3371532</v>
      </c>
      <c r="V15" s="31" t="n">
        <f aca="false">-V7*(Assumptions!$F$54+(Assumptions!$F$55-Assumptions!$F$54)*(19/19))</f>
        <v>-111977520.704378</v>
      </c>
    </row>
    <row r="16" customFormat="false" ht="15" hidden="false" customHeight="false" outlineLevel="0" collapsed="false">
      <c r="A16" s="13" t="s">
        <v>180</v>
      </c>
      <c r="B16" s="14" t="s">
        <v>51</v>
      </c>
      <c r="C16" s="30" t="n">
        <f aca="false">SUM(C13:C15)</f>
        <v>-235250.4</v>
      </c>
      <c r="D16" s="30" t="n">
        <f aca="false">SUM(D13:D15)</f>
        <v>-667606.377865928</v>
      </c>
      <c r="E16" s="30" t="n">
        <f aca="false">SUM(E13:E15)</f>
        <v>-1520012.35659819</v>
      </c>
      <c r="F16" s="30" t="n">
        <f aca="false">SUM(F13:F15)</f>
        <v>-3194484.72086769</v>
      </c>
      <c r="G16" s="30" t="n">
        <f aca="false">SUM(G13:G15)</f>
        <v>-6051944.74072312</v>
      </c>
      <c r="H16" s="30" t="n">
        <f aca="false">SUM(H13:H15)</f>
        <v>-10394417.9095647</v>
      </c>
      <c r="I16" s="30" t="n">
        <f aca="false">SUM(I13:I15)</f>
        <v>-16724300.3548848</v>
      </c>
      <c r="J16" s="30" t="n">
        <f aca="false">SUM(J13:J15)</f>
        <v>-26447423.8810274</v>
      </c>
      <c r="K16" s="30" t="n">
        <f aca="false">SUM(K13:K15)</f>
        <v>-41360434.0450347</v>
      </c>
      <c r="L16" s="30" t="n">
        <f aca="false">SUM(L13:L15)</f>
        <v>-58663134.0424464</v>
      </c>
      <c r="M16" s="30" t="n">
        <f aca="false">SUM(M13:M15)</f>
        <v>-79210259.3127914</v>
      </c>
      <c r="N16" s="30" t="n">
        <f aca="false">SUM(N13:N15)</f>
        <v>-103564856.261781</v>
      </c>
      <c r="O16" s="30" t="n">
        <f aca="false">SUM(O13:O15)</f>
        <v>-132373307.131975</v>
      </c>
      <c r="P16" s="30" t="n">
        <f aca="false">SUM(P13:P15)</f>
        <v>-166374807.31904</v>
      </c>
      <c r="Q16" s="30" t="n">
        <f aca="false">SUM(Q13:Q15)</f>
        <v>-206411254.762285</v>
      </c>
      <c r="R16" s="30" t="n">
        <f aca="false">SUM(R13:R15)</f>
        <v>-253437306.984077</v>
      </c>
      <c r="S16" s="30" t="n">
        <f aca="false">SUM(S13:S15)</f>
        <v>-308530244.581134</v>
      </c>
      <c r="T16" s="30" t="n">
        <f aca="false">SUM(T13:T15)</f>
        <v>-372899124.339587</v>
      </c>
      <c r="U16" s="30" t="n">
        <f aca="false">SUM(U13:U15)</f>
        <v>-447892499.092112</v>
      </c>
      <c r="V16" s="30" t="n">
        <f aca="false">SUM(V13:V15)</f>
        <v>-535003710.032028</v>
      </c>
    </row>
    <row r="17" customFormat="false" ht="15" hidden="false" customHeight="false" outlineLevel="0" collapsed="false">
      <c r="A17" s="13" t="s">
        <v>181</v>
      </c>
      <c r="B17" s="14" t="s">
        <v>51</v>
      </c>
      <c r="C17" s="30" t="n">
        <f aca="false">-Assumptions!$F$56*(1+Assumptions!$F$57)^0</f>
        <v>-1200000</v>
      </c>
      <c r="D17" s="30" t="n">
        <f aca="false">-Assumptions!$F$56*(1+Assumptions!$F$57)^1</f>
        <v>-1560000</v>
      </c>
      <c r="E17" s="30" t="n">
        <f aca="false">-Assumptions!$F$56*(1+Assumptions!$F$57)^2</f>
        <v>-2028000</v>
      </c>
      <c r="F17" s="30" t="n">
        <f aca="false">-Assumptions!$F$56*(1+Assumptions!$F$57)^3</f>
        <v>-2636400</v>
      </c>
      <c r="G17" s="30" t="n">
        <f aca="false">-Assumptions!$F$56*(1+Assumptions!$F$57)^4</f>
        <v>-3427320</v>
      </c>
      <c r="H17" s="30" t="n">
        <f aca="false">-Assumptions!$F$56*(1+Assumptions!$F$57)^5</f>
        <v>-4455516</v>
      </c>
      <c r="I17" s="30" t="n">
        <f aca="false">-Assumptions!$F$56*(1+Assumptions!$F$57)^6</f>
        <v>-5792170.8</v>
      </c>
      <c r="J17" s="30" t="n">
        <f aca="false">-Assumptions!$F$56*(1+Assumptions!$F$57)^7</f>
        <v>-7529822.04</v>
      </c>
      <c r="K17" s="30" t="n">
        <f aca="false">-Assumptions!$F$56*(1+Assumptions!$F$57)^8</f>
        <v>-9788768.652</v>
      </c>
      <c r="L17" s="30" t="n">
        <f aca="false">-Assumptions!$F$56*(1+Assumptions!$F$57)^9</f>
        <v>-12725399.2476</v>
      </c>
      <c r="M17" s="30" t="n">
        <f aca="false">-Assumptions!$F$56*(1+Assumptions!$F$57)^10</f>
        <v>-16543019.02188</v>
      </c>
      <c r="N17" s="30" t="n">
        <f aca="false">-Assumptions!$F$56*(1+Assumptions!$F$57)^11</f>
        <v>-21505924.728444</v>
      </c>
      <c r="O17" s="30" t="n">
        <f aca="false">-Assumptions!$F$56*(1+Assumptions!$F$57)^12</f>
        <v>-27957702.1469772</v>
      </c>
      <c r="P17" s="30" t="n">
        <f aca="false">-Assumptions!$F$56*(1+Assumptions!$F$57)^13</f>
        <v>-36345012.7910704</v>
      </c>
      <c r="Q17" s="30" t="n">
        <f aca="false">-Assumptions!$F$56*(1+Assumptions!$F$57)^14</f>
        <v>-47248516.6283915</v>
      </c>
      <c r="R17" s="30" t="n">
        <f aca="false">-Assumptions!$F$56*(1+Assumptions!$F$57)^15</f>
        <v>-61423071.6169089</v>
      </c>
      <c r="S17" s="30" t="n">
        <f aca="false">-Assumptions!$F$56*(1+Assumptions!$F$57)^16</f>
        <v>-79849993.1019816</v>
      </c>
      <c r="T17" s="30" t="n">
        <f aca="false">-Assumptions!$F$56*(1+Assumptions!$F$57)^17</f>
        <v>-103804991.032576</v>
      </c>
      <c r="U17" s="30" t="n">
        <f aca="false">-Assumptions!$F$56*(1+Assumptions!$F$57)^18</f>
        <v>-134946488.342349</v>
      </c>
      <c r="V17" s="30" t="n">
        <f aca="false">-Assumptions!$F$56*(1+Assumptions!$F$57)^19</f>
        <v>-175430434.845054</v>
      </c>
    </row>
    <row r="18" customFormat="false" ht="15" hidden="false" customHeight="false" outlineLevel="0" collapsed="false">
      <c r="A18" s="26" t="s">
        <v>182</v>
      </c>
      <c r="B18" s="14" t="s">
        <v>51</v>
      </c>
      <c r="C18" s="34" t="n">
        <f aca="false">-MAX(-C16,-C17)</f>
        <v>-1200000</v>
      </c>
      <c r="D18" s="34" t="n">
        <f aca="false">-MAX(-D16,-D17)</f>
        <v>-1560000</v>
      </c>
      <c r="E18" s="34" t="n">
        <f aca="false">-MAX(-E16,-E17)</f>
        <v>-2028000</v>
      </c>
      <c r="F18" s="34" t="n">
        <f aca="false">-MAX(-F16,-F17)</f>
        <v>-3194484.72086769</v>
      </c>
      <c r="G18" s="34" t="n">
        <f aca="false">-MAX(-G16,-G17)</f>
        <v>-6051944.74072312</v>
      </c>
      <c r="H18" s="34" t="n">
        <f aca="false">-MAX(-H16,-H17)</f>
        <v>-10394417.9095647</v>
      </c>
      <c r="I18" s="34" t="n">
        <f aca="false">-MAX(-I16,-I17)</f>
        <v>-16724300.3548848</v>
      </c>
      <c r="J18" s="34" t="n">
        <f aca="false">-MAX(-J16,-J17)</f>
        <v>-26447423.8810274</v>
      </c>
      <c r="K18" s="34" t="n">
        <f aca="false">-MAX(-K16,-K17)</f>
        <v>-41360434.0450347</v>
      </c>
      <c r="L18" s="34" t="n">
        <f aca="false">-MAX(-L16,-L17)</f>
        <v>-58663134.0424464</v>
      </c>
      <c r="M18" s="34" t="n">
        <f aca="false">-MAX(-M16,-M17)</f>
        <v>-79210259.3127914</v>
      </c>
      <c r="N18" s="34" t="n">
        <f aca="false">-MAX(-N16,-N17)</f>
        <v>-103564856.261781</v>
      </c>
      <c r="O18" s="34" t="n">
        <f aca="false">-MAX(-O16,-O17)</f>
        <v>-132373307.131975</v>
      </c>
      <c r="P18" s="34" t="n">
        <f aca="false">-MAX(-P16,-P17)</f>
        <v>-166374807.31904</v>
      </c>
      <c r="Q18" s="34" t="n">
        <f aca="false">-MAX(-Q16,-Q17)</f>
        <v>-206411254.762285</v>
      </c>
      <c r="R18" s="34" t="n">
        <f aca="false">-MAX(-R16,-R17)</f>
        <v>-253437306.984077</v>
      </c>
      <c r="S18" s="34" t="n">
        <f aca="false">-MAX(-S16,-S17)</f>
        <v>-308530244.581134</v>
      </c>
      <c r="T18" s="34" t="n">
        <f aca="false">-MAX(-T16,-T17)</f>
        <v>-372899124.339587</v>
      </c>
      <c r="U18" s="34" t="n">
        <f aca="false">-MAX(-U16,-U17)</f>
        <v>-447892499.092112</v>
      </c>
      <c r="V18" s="34" t="n">
        <f aca="false">-MAX(-V16,-V17)</f>
        <v>-535003710.032028</v>
      </c>
    </row>
    <row r="20" customFormat="false" ht="15" hidden="false" customHeight="false" outlineLevel="0" collapsed="false">
      <c r="A20" s="33" t="s">
        <v>183</v>
      </c>
      <c r="B20" s="14" t="s">
        <v>51</v>
      </c>
      <c r="C20" s="32" t="n">
        <f aca="false">C9+C18</f>
        <v>-1039039.2</v>
      </c>
      <c r="D20" s="32" t="n">
        <f aca="false">D9+D18</f>
        <v>-1075937.15174089</v>
      </c>
      <c r="E20" s="32" t="n">
        <f aca="false">E9+E18</f>
        <v>-860796.138363026</v>
      </c>
      <c r="F20" s="32" t="n">
        <f aca="false">F9+F18</f>
        <v>-597972.461618528</v>
      </c>
      <c r="G20" s="32" t="n">
        <f aca="false">G9+G18</f>
        <v>-847329.03616597</v>
      </c>
      <c r="H20" s="32" t="n">
        <f aca="false">H9+H18</f>
        <v>-939604.866667213</v>
      </c>
      <c r="I20" s="32" t="n">
        <f aca="false">I9+I18</f>
        <v>-638079.862903988</v>
      </c>
      <c r="J20" s="32" t="n">
        <f aca="false">J9+J18</f>
        <v>447806.593711354</v>
      </c>
      <c r="K20" s="32" t="n">
        <f aca="false">K9+K18</f>
        <v>3106076.92437287</v>
      </c>
      <c r="L20" s="32" t="n">
        <f aca="false">L9+L18</f>
        <v>8014003.35621107</v>
      </c>
      <c r="M20" s="32" t="n">
        <f aca="false">M9+M18</f>
        <v>15982072.7601144</v>
      </c>
      <c r="N20" s="32" t="n">
        <f aca="false">N9+N18</f>
        <v>28056031.2949975</v>
      </c>
      <c r="O20" s="32" t="n">
        <f aca="false">O9+O18</f>
        <v>45588340.9470954</v>
      </c>
      <c r="P20" s="32" t="n">
        <f aca="false">P9+P18</f>
        <v>70319992.4530721</v>
      </c>
      <c r="Q20" s="32" t="n">
        <f aca="false">Q9+Q18</f>
        <v>97109979.328081</v>
      </c>
      <c r="R20" s="32" t="n">
        <f aca="false">R9+R18</f>
        <v>132193326.614455</v>
      </c>
      <c r="S20" s="32" t="n">
        <f aca="false">S9+S18</f>
        <v>177842761.068601</v>
      </c>
      <c r="T20" s="32" t="n">
        <f aca="false">T9+T18</f>
        <v>236915525.203294</v>
      </c>
      <c r="U20" s="32" t="n">
        <f aca="false">U9+U18</f>
        <v>312997817.012606</v>
      </c>
      <c r="V20" s="32" t="n">
        <f aca="false">V9+V18</f>
        <v>410584242.582719</v>
      </c>
    </row>
    <row r="21" customFormat="false" ht="15" hidden="false" customHeight="false" outlineLevel="0" collapsed="false">
      <c r="A21" s="13" t="s">
        <v>184</v>
      </c>
      <c r="B21" s="14" t="s">
        <v>44</v>
      </c>
      <c r="C21" s="28" t="n">
        <f aca="false">IF(C7=0,"-",C20/C7)</f>
        <v>-3.35672029463074</v>
      </c>
      <c r="D21" s="28" t="n">
        <f aca="false">IF(D7=0,"-",D20/D7)</f>
        <v>-1.19685031829629</v>
      </c>
      <c r="E21" s="28" t="n">
        <f aca="false">IF(E7=0,"-",E20/E7)</f>
        <v>-0.41072279636592</v>
      </c>
      <c r="F21" s="28" t="n">
        <f aca="false">IF(F7=0,"-",F20/F7)</f>
        <v>-0.13251012145749</v>
      </c>
      <c r="G21" s="28" t="n">
        <f aca="false">IF(G7=0,"-",G20/G7)</f>
        <v>-0.0966801619433197</v>
      </c>
      <c r="H21" s="28" t="n">
        <f aca="false">IF(H7=0,"-",H20/H7)</f>
        <v>-0.0608502024291498</v>
      </c>
      <c r="I21" s="28" t="n">
        <f aca="false">IF(I7=0,"-",I20/I7)</f>
        <v>-0.0250202429149798</v>
      </c>
      <c r="J21" s="28" t="n">
        <f aca="false">IF(J7=0,"-",J20/J7)</f>
        <v>0.0108097165991903</v>
      </c>
      <c r="K21" s="28" t="n">
        <f aca="false">IF(K7=0,"-",K20/K7)</f>
        <v>0.0466396761133603</v>
      </c>
      <c r="L21" s="28" t="n">
        <f aca="false">IF(L7=0,"-",L20/L7)</f>
        <v>0.0824696356275303</v>
      </c>
      <c r="M21" s="28" t="n">
        <f aca="false">IF(M7=0,"-",M20/M7)</f>
        <v>0.1182995951417</v>
      </c>
      <c r="N21" s="28" t="n">
        <f aca="false">IF(N7=0,"-",N20/N7)</f>
        <v>0.15412955465587</v>
      </c>
      <c r="O21" s="28" t="n">
        <f aca="false">IF(O7=0,"-",O20/O7)</f>
        <v>0.18995951417004</v>
      </c>
      <c r="P21" s="28" t="n">
        <f aca="false">IF(P7=0,"-",P20/P7)</f>
        <v>0.22578947368421</v>
      </c>
      <c r="Q21" s="28" t="n">
        <f aca="false">IF(Q7=0,"-",Q20/Q7)</f>
        <v>0.243157894736842</v>
      </c>
      <c r="R21" s="28" t="n">
        <f aca="false">IF(R7=0,"-",R20/R7)</f>
        <v>0.260526315789474</v>
      </c>
      <c r="S21" s="28" t="n">
        <f aca="false">IF(S7=0,"-",S20/S7)</f>
        <v>0.277894736842105</v>
      </c>
      <c r="T21" s="28" t="n">
        <f aca="false">IF(T7=0,"-",T20/T7)</f>
        <v>0.295263157894737</v>
      </c>
      <c r="U21" s="28" t="n">
        <f aca="false">IF(U7=0,"-",U20/U7)</f>
        <v>0.312631578947369</v>
      </c>
      <c r="V21" s="28" t="n">
        <f aca="false">IF(V7=0,"-",V20/V7)</f>
        <v>0.33</v>
      </c>
    </row>
    <row r="22" customFormat="false" ht="15" hidden="false" customHeight="false" outlineLevel="0" collapsed="false">
      <c r="A22" s="13" t="s">
        <v>185</v>
      </c>
      <c r="B22" s="14" t="s">
        <v>51</v>
      </c>
      <c r="C22" s="31" t="n">
        <f aca="false">-MAX(C20,0)*Assumptions!$F$63</f>
        <v>-0</v>
      </c>
      <c r="D22" s="31" t="n">
        <f aca="false">-MAX(D20,0)*Assumptions!$F$63</f>
        <v>-0</v>
      </c>
      <c r="E22" s="31" t="n">
        <f aca="false">-MAX(E20,0)*Assumptions!$F$63</f>
        <v>-0</v>
      </c>
      <c r="F22" s="31" t="n">
        <f aca="false">-MAX(F20,0)*Assumptions!$F$63</f>
        <v>-0</v>
      </c>
      <c r="G22" s="31" t="n">
        <f aca="false">-MAX(G20,0)*Assumptions!$F$63</f>
        <v>-0</v>
      </c>
      <c r="H22" s="31" t="n">
        <f aca="false">-MAX(H20,0)*Assumptions!$F$63</f>
        <v>-0</v>
      </c>
      <c r="I22" s="31" t="n">
        <f aca="false">-MAX(I20,0)*Assumptions!$F$63</f>
        <v>-0</v>
      </c>
      <c r="J22" s="31" t="n">
        <f aca="false">-MAX(J20,0)*Assumptions!$F$63</f>
        <v>-134341.978113406</v>
      </c>
      <c r="K22" s="31" t="n">
        <f aca="false">-MAX(K20,0)*Assumptions!$F$63</f>
        <v>-931823.077311862</v>
      </c>
      <c r="L22" s="31" t="n">
        <f aca="false">-MAX(L20,0)*Assumptions!$F$63</f>
        <v>-2404201.00686332</v>
      </c>
      <c r="M22" s="31" t="n">
        <f aca="false">-MAX(M20,0)*Assumptions!$F$63</f>
        <v>-4794621.82803431</v>
      </c>
      <c r="N22" s="31" t="n">
        <f aca="false">-MAX(N20,0)*Assumptions!$F$63</f>
        <v>-8416809.38849926</v>
      </c>
      <c r="O22" s="31" t="n">
        <f aca="false">-MAX(O20,0)*Assumptions!$F$63</f>
        <v>-13676502.2841286</v>
      </c>
      <c r="P22" s="31" t="n">
        <f aca="false">-MAX(P20,0)*Assumptions!$F$63</f>
        <v>-21095997.7359216</v>
      </c>
      <c r="Q22" s="31" t="n">
        <f aca="false">-MAX(Q20,0)*Assumptions!$F$63</f>
        <v>-29132993.7984243</v>
      </c>
      <c r="R22" s="31" t="n">
        <f aca="false">-MAX(R20,0)*Assumptions!$F$63</f>
        <v>-39657997.9843365</v>
      </c>
      <c r="S22" s="31" t="n">
        <f aca="false">-MAX(S20,0)*Assumptions!$F$63</f>
        <v>-53352828.3205803</v>
      </c>
      <c r="T22" s="31" t="n">
        <f aca="false">-MAX(T20,0)*Assumptions!$F$63</f>
        <v>-71074657.5609882</v>
      </c>
      <c r="U22" s="31" t="n">
        <f aca="false">-MAX(U20,0)*Assumptions!$F$63</f>
        <v>-93899345.1037817</v>
      </c>
      <c r="V22" s="31" t="n">
        <f aca="false">-MAX(V20,0)*Assumptions!$F$63</f>
        <v>-123175272.774816</v>
      </c>
    </row>
    <row r="23" customFormat="false" ht="15" hidden="false" customHeight="false" outlineLevel="0" collapsed="false">
      <c r="A23" s="33" t="s">
        <v>186</v>
      </c>
      <c r="B23" s="14" t="s">
        <v>51</v>
      </c>
      <c r="C23" s="34" t="n">
        <f aca="false">C20+C22</f>
        <v>-1039039.2</v>
      </c>
      <c r="D23" s="34" t="n">
        <f aca="false">D20+D22</f>
        <v>-1075937.15174089</v>
      </c>
      <c r="E23" s="34" t="n">
        <f aca="false">E20+E22</f>
        <v>-860796.138363026</v>
      </c>
      <c r="F23" s="34" t="n">
        <f aca="false">F20+F22</f>
        <v>-597972.461618528</v>
      </c>
      <c r="G23" s="34" t="n">
        <f aca="false">G20+G22</f>
        <v>-847329.03616597</v>
      </c>
      <c r="H23" s="34" t="n">
        <f aca="false">H20+H22</f>
        <v>-939604.866667213</v>
      </c>
      <c r="I23" s="34" t="n">
        <f aca="false">I20+I22</f>
        <v>-638079.862903988</v>
      </c>
      <c r="J23" s="34" t="n">
        <f aca="false">J20+J22</f>
        <v>313464.615597948</v>
      </c>
      <c r="K23" s="34" t="n">
        <f aca="false">K20+K22</f>
        <v>2174253.84706101</v>
      </c>
      <c r="L23" s="34" t="n">
        <f aca="false">L20+L22</f>
        <v>5609802.34934775</v>
      </c>
      <c r="M23" s="34" t="n">
        <f aca="false">M20+M22</f>
        <v>11187450.9320801</v>
      </c>
      <c r="N23" s="34" t="n">
        <f aca="false">N20+N22</f>
        <v>19639221.9064983</v>
      </c>
      <c r="O23" s="34" t="n">
        <f aca="false">O20+O22</f>
        <v>31911838.6629668</v>
      </c>
      <c r="P23" s="34" t="n">
        <f aca="false">P20+P22</f>
        <v>49223994.7171505</v>
      </c>
      <c r="Q23" s="34" t="n">
        <f aca="false">Q20+Q22</f>
        <v>67976985.5296567</v>
      </c>
      <c r="R23" s="34" t="n">
        <f aca="false">R20+R22</f>
        <v>92535328.6301186</v>
      </c>
      <c r="S23" s="34" t="n">
        <f aca="false">S20+S22</f>
        <v>124489932.748021</v>
      </c>
      <c r="T23" s="34" t="n">
        <f aca="false">T20+T22</f>
        <v>165840867.642306</v>
      </c>
      <c r="U23" s="34" t="n">
        <f aca="false">U20+U22</f>
        <v>219098471.908824</v>
      </c>
      <c r="V23" s="34" t="n">
        <f aca="false">V20+V22</f>
        <v>287408969.807904</v>
      </c>
    </row>
    <row r="25" customFormat="false" ht="15" hidden="false" customHeight="false" outlineLevel="0" collapsed="false">
      <c r="A25" s="11" t="s">
        <v>187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customFormat="false" ht="15" hidden="false" customHeight="false" outlineLevel="0" collapsed="false">
      <c r="A26" s="13" t="s">
        <v>188</v>
      </c>
      <c r="B26" s="14" t="s">
        <v>44</v>
      </c>
      <c r="C26" s="37" t="str">
        <f aca="false">"-"</f>
        <v>-</v>
      </c>
      <c r="D26" s="37" t="n">
        <f aca="false">Revenue!D37+D21</f>
        <v>0.707374857941451</v>
      </c>
      <c r="E26" s="37" t="n">
        <f aca="false">Revenue!E37+E21</f>
        <v>0.920610882676633</v>
      </c>
      <c r="F26" s="37" t="n">
        <f aca="false">Revenue!F37+F21</f>
        <v>1.02067133045423</v>
      </c>
      <c r="G26" s="37" t="n">
        <f aca="false">Revenue!G37+G21</f>
        <v>0.845469027647402</v>
      </c>
      <c r="H26" s="37" t="n">
        <f aca="false">Revenue!H37+H21</f>
        <v>0.700998092130163</v>
      </c>
      <c r="I26" s="37" t="n">
        <f aca="false">Revenue!I37+I21</f>
        <v>0.626562312087501</v>
      </c>
      <c r="J26" s="37" t="n">
        <f aca="false">Revenue!J37+J21</f>
        <v>0.635208512085257</v>
      </c>
      <c r="K26" s="37" t="n">
        <f aca="false">Revenue!K37+K21</f>
        <v>0.654248959382137</v>
      </c>
      <c r="L26" s="37" t="n">
        <f aca="false">Revenue!L37+L21</f>
        <v>0.541615682558702</v>
      </c>
      <c r="M26" s="37" t="n">
        <f aca="false">Revenue!M37+M21</f>
        <v>0.508554387889508</v>
      </c>
      <c r="N26" s="37" t="n">
        <f aca="false">Revenue!N37+N21</f>
        <v>0.501510708835649</v>
      </c>
      <c r="O26" s="37" t="n">
        <f aca="false">Revenue!O37+O21</f>
        <v>0.508375389113229</v>
      </c>
      <c r="P26" s="37" t="n">
        <f aca="false">Revenue!P37+P21</f>
        <v>0.52351362388974</v>
      </c>
      <c r="Q26" s="37" t="n">
        <f aca="false">Revenue!Q37+Q21</f>
        <v>0.525489548759632</v>
      </c>
      <c r="R26" s="37" t="n">
        <f aca="false">Revenue!R37+R21</f>
        <v>0.531049067695919</v>
      </c>
      <c r="S26" s="37" t="n">
        <f aca="false">Revenue!S37+S21</f>
        <v>0.539135321157517</v>
      </c>
      <c r="T26" s="37" t="n">
        <f aca="false">Revenue!T37+T21</f>
        <v>0.549063517822698</v>
      </c>
      <c r="U26" s="37" t="n">
        <f aca="false">Revenue!U37+U21</f>
        <v>0.560371882784089</v>
      </c>
      <c r="V26" s="37" t="n">
        <f aca="false">Revenue!V37+V21</f>
        <v>0.572738845009312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2" min="2" style="0" width="11"/>
  </cols>
  <sheetData>
    <row r="1" customFormat="false" ht="18.55" hidden="false" customHeight="false" outlineLevel="0" collapsed="false">
      <c r="A1" s="5" t="s">
        <v>189</v>
      </c>
    </row>
    <row r="2" customFormat="false" ht="15" hidden="false" customHeight="false" outlineLevel="0" collapsed="false">
      <c r="A2" s="6" t="s">
        <v>190</v>
      </c>
    </row>
    <row r="5" customFormat="false" ht="15" hidden="false" customHeight="false" outlineLevel="0" collapsed="false">
      <c r="A5" s="23"/>
      <c r="B5" s="10" t="s">
        <v>35</v>
      </c>
      <c r="C5" s="10" t="s">
        <v>104</v>
      </c>
      <c r="D5" s="10" t="s">
        <v>105</v>
      </c>
      <c r="E5" s="10" t="s">
        <v>106</v>
      </c>
      <c r="F5" s="10" t="s">
        <v>107</v>
      </c>
      <c r="G5" s="10" t="s">
        <v>108</v>
      </c>
      <c r="H5" s="10" t="s">
        <v>109</v>
      </c>
      <c r="I5" s="10" t="s">
        <v>110</v>
      </c>
      <c r="J5" s="10" t="s">
        <v>111</v>
      </c>
      <c r="K5" s="10" t="s">
        <v>112</v>
      </c>
      <c r="L5" s="10" t="s">
        <v>113</v>
      </c>
      <c r="M5" s="10" t="s">
        <v>114</v>
      </c>
      <c r="N5" s="10" t="s">
        <v>115</v>
      </c>
      <c r="O5" s="10" t="s">
        <v>116</v>
      </c>
      <c r="P5" s="10" t="s">
        <v>117</v>
      </c>
      <c r="Q5" s="10" t="s">
        <v>118</v>
      </c>
      <c r="R5" s="10" t="s">
        <v>119</v>
      </c>
      <c r="S5" s="10" t="s">
        <v>120</v>
      </c>
      <c r="T5" s="10" t="s">
        <v>121</v>
      </c>
      <c r="U5" s="10" t="s">
        <v>122</v>
      </c>
      <c r="V5" s="10" t="s">
        <v>123</v>
      </c>
    </row>
    <row r="7" customFormat="false" ht="15" hidden="false" customHeight="false" outlineLevel="0" collapsed="false">
      <c r="A7" s="13" t="s">
        <v>191</v>
      </c>
      <c r="B7" s="14" t="s">
        <v>51</v>
      </c>
      <c r="C7" s="31" t="n">
        <f aca="false">Assumptions!$F$58+(Assumptions!$F$59-Assumptions!$F$58)*(0/19)</f>
        <v>40000</v>
      </c>
      <c r="D7" s="31" t="n">
        <f aca="false">Assumptions!$F$58+(Assumptions!$F$59-Assumptions!$F$58)*(1/19)</f>
        <v>47631.5789473684</v>
      </c>
      <c r="E7" s="31" t="n">
        <f aca="false">Assumptions!$F$58+(Assumptions!$F$59-Assumptions!$F$58)*(2/19)</f>
        <v>55263.1578947368</v>
      </c>
      <c r="F7" s="31" t="n">
        <f aca="false">Assumptions!$F$58+(Assumptions!$F$59-Assumptions!$F$58)*(3/19)</f>
        <v>62894.7368421053</v>
      </c>
      <c r="G7" s="31" t="n">
        <f aca="false">Assumptions!$F$58+(Assumptions!$F$59-Assumptions!$F$58)*(4/19)</f>
        <v>70526.3157894737</v>
      </c>
      <c r="H7" s="31" t="n">
        <f aca="false">Assumptions!$F$58+(Assumptions!$F$59-Assumptions!$F$58)*(5/19)</f>
        <v>78157.8947368421</v>
      </c>
      <c r="I7" s="31" t="n">
        <f aca="false">Assumptions!$F$58+(Assumptions!$F$59-Assumptions!$F$58)*(6/19)</f>
        <v>85789.4736842105</v>
      </c>
      <c r="J7" s="31" t="n">
        <f aca="false">Assumptions!$F$58+(Assumptions!$F$59-Assumptions!$F$58)*(7/19)</f>
        <v>93421.052631579</v>
      </c>
      <c r="K7" s="31" t="n">
        <f aca="false">Assumptions!$F$58+(Assumptions!$F$59-Assumptions!$F$58)*(8/19)</f>
        <v>101052.631578947</v>
      </c>
      <c r="L7" s="31" t="n">
        <f aca="false">Assumptions!$F$58+(Assumptions!$F$59-Assumptions!$F$58)*(9/19)</f>
        <v>108684.210526316</v>
      </c>
      <c r="M7" s="31" t="n">
        <f aca="false">Assumptions!$F$58+(Assumptions!$F$59-Assumptions!$F$58)*(10/19)</f>
        <v>116315.789473684</v>
      </c>
      <c r="N7" s="31" t="n">
        <f aca="false">Assumptions!$F$58+(Assumptions!$F$59-Assumptions!$F$58)*(11/19)</f>
        <v>123947.368421053</v>
      </c>
      <c r="O7" s="31" t="n">
        <f aca="false">Assumptions!$F$58+(Assumptions!$F$59-Assumptions!$F$58)*(12/19)</f>
        <v>131578.947368421</v>
      </c>
      <c r="P7" s="31" t="n">
        <f aca="false">Assumptions!$F$58+(Assumptions!$F$59-Assumptions!$F$58)*(13/19)</f>
        <v>139210.52631579</v>
      </c>
      <c r="Q7" s="31" t="n">
        <f aca="false">Assumptions!$F$58+(Assumptions!$F$59-Assumptions!$F$58)*(14/19)</f>
        <v>146842.105263158</v>
      </c>
      <c r="R7" s="31" t="n">
        <f aca="false">Assumptions!$F$58+(Assumptions!$F$59-Assumptions!$F$58)*(15/19)</f>
        <v>154473.684210526</v>
      </c>
      <c r="S7" s="31" t="n">
        <f aca="false">Assumptions!$F$58+(Assumptions!$F$59-Assumptions!$F$58)*(16/19)</f>
        <v>162105.263157895</v>
      </c>
      <c r="T7" s="31" t="n">
        <f aca="false">Assumptions!$F$58+(Assumptions!$F$59-Assumptions!$F$58)*(17/19)</f>
        <v>169736.842105263</v>
      </c>
      <c r="U7" s="31" t="n">
        <f aca="false">Assumptions!$F$58+(Assumptions!$F$59-Assumptions!$F$58)*(18/19)</f>
        <v>177368.421052632</v>
      </c>
      <c r="V7" s="31" t="n">
        <f aca="false">Assumptions!$F$58+(Assumptions!$F$59-Assumptions!$F$58)*(19/19)</f>
        <v>185000</v>
      </c>
    </row>
    <row r="8" customFormat="false" ht="15" hidden="false" customHeight="false" outlineLevel="0" collapsed="false">
      <c r="A8" s="33" t="s">
        <v>192</v>
      </c>
      <c r="B8" s="14" t="s">
        <v>193</v>
      </c>
      <c r="C8" s="27" t="n">
        <f aca="false">IF(C7=0,0,Revenue!C36/C7)</f>
        <v>7.7385</v>
      </c>
      <c r="D8" s="27" t="n">
        <f aca="false">IF(D7=0,0,Revenue!D36/D7)</f>
        <v>18.8734843756906</v>
      </c>
      <c r="E8" s="27" t="n">
        <f aca="false">IF(E7=0,0,Revenue!E36/E7)</f>
        <v>37.9241454649214</v>
      </c>
      <c r="F8" s="27" t="n">
        <f aca="false">IF(F7=0,0,Revenue!F36/F7)</f>
        <v>71.7493262965726</v>
      </c>
      <c r="G8" s="27" t="n">
        <f aca="false">IF(G7=0,0,Revenue!G36/G7)</f>
        <v>124.269205690358</v>
      </c>
      <c r="H8" s="27" t="n">
        <f aca="false">IF(H7=0,0,Revenue!H36/H7)</f>
        <v>197.565167723777</v>
      </c>
      <c r="I8" s="27" t="n">
        <f aca="false">IF(I7=0,0,Revenue!I36/I7)</f>
        <v>297.268925745867</v>
      </c>
      <c r="J8" s="27" t="n">
        <f aca="false">IF(J7=0,0,Revenue!J36/J7)</f>
        <v>443.436481360421</v>
      </c>
      <c r="K8" s="27" t="n">
        <f aca="false">IF(K7=0,0,Revenue!K36/K7)</f>
        <v>659.035870862355</v>
      </c>
      <c r="L8" s="27" t="n">
        <f aca="false">IF(L7=0,0,Revenue!L36/L7)</f>
        <v>894.10595866776</v>
      </c>
      <c r="M8" s="27" t="n">
        <f aca="false">IF(M7=0,0,Revenue!M36/M7)</f>
        <v>1161.47849305498</v>
      </c>
      <c r="N8" s="27" t="n">
        <f aca="false">IF(N7=0,0,Revenue!N36/N7)</f>
        <v>1468.59823944185</v>
      </c>
      <c r="O8" s="27" t="n">
        <f aca="false">IF(O7=0,0,Revenue!O36/O7)</f>
        <v>1823.92228529172</v>
      </c>
      <c r="P8" s="27" t="n">
        <f aca="false">IF(P7=0,0,Revenue!P36/P7)</f>
        <v>2237.19092412204</v>
      </c>
      <c r="Q8" s="27" t="n">
        <f aca="false">IF(Q7=0,0,Revenue!Q36/Q7)</f>
        <v>2719.72431980614</v>
      </c>
      <c r="R8" s="27" t="n">
        <f aca="false">IF(R7=0,0,Revenue!R36/R7)</f>
        <v>3284.7583781817</v>
      </c>
      <c r="S8" s="27" t="n">
        <f aca="false">IF(S7=0,0,Revenue!S36/S7)</f>
        <v>3947.83283806603</v>
      </c>
      <c r="T8" s="27" t="n">
        <f aca="false">IF(T7=0,0,Revenue!T36/T7)</f>
        <v>4727.24534529365</v>
      </c>
      <c r="U8" s="27" t="n">
        <f aca="false">IF(U7=0,0,Revenue!U36/U7)</f>
        <v>5644.58691472343</v>
      </c>
      <c r="V8" s="27" t="n">
        <f aca="false">IF(V7=0,0,Revenue!V36/V7)</f>
        <v>6725.37661888156</v>
      </c>
    </row>
    <row r="9" customFormat="false" ht="15" hidden="false" customHeight="false" outlineLevel="0" collapsed="false">
      <c r="A9" s="13" t="s">
        <v>194</v>
      </c>
      <c r="B9" s="14" t="s">
        <v>193</v>
      </c>
      <c r="C9" s="24" t="n">
        <f aca="false">C8</f>
        <v>7.7385</v>
      </c>
      <c r="D9" s="24" t="n">
        <f aca="false">D8-C8</f>
        <v>11.1349843756906</v>
      </c>
      <c r="E9" s="24" t="n">
        <f aca="false">E8-D8</f>
        <v>19.0506610892308</v>
      </c>
      <c r="F9" s="24" t="n">
        <f aca="false">F8-E8</f>
        <v>33.8251808316512</v>
      </c>
      <c r="G9" s="24" t="n">
        <f aca="false">G8-F8</f>
        <v>52.5198793937854</v>
      </c>
      <c r="H9" s="24" t="n">
        <f aca="false">H8-G8</f>
        <v>73.295962033419</v>
      </c>
      <c r="I9" s="24" t="n">
        <f aca="false">I8-H8</f>
        <v>99.7037580220897</v>
      </c>
      <c r="J9" s="24" t="n">
        <f aca="false">J8-I8</f>
        <v>146.167555614554</v>
      </c>
      <c r="K9" s="24" t="n">
        <f aca="false">K8-J8</f>
        <v>215.599389501934</v>
      </c>
      <c r="L9" s="24" t="n">
        <f aca="false">L8-K8</f>
        <v>235.070087805405</v>
      </c>
      <c r="M9" s="24" t="n">
        <f aca="false">M8-L8</f>
        <v>267.372534387216</v>
      </c>
      <c r="N9" s="24" t="n">
        <f aca="false">N8-M8</f>
        <v>307.119746386876</v>
      </c>
      <c r="O9" s="24" t="n">
        <f aca="false">O8-N8</f>
        <v>355.324045849865</v>
      </c>
      <c r="P9" s="24" t="n">
        <f aca="false">P8-O8</f>
        <v>413.268638830325</v>
      </c>
      <c r="Q9" s="24" t="n">
        <f aca="false">Q8-P8</f>
        <v>482.533395684102</v>
      </c>
      <c r="R9" s="24" t="n">
        <f aca="false">R8-Q8</f>
        <v>565.034058375557</v>
      </c>
      <c r="S9" s="24" t="n">
        <f aca="false">S8-R8</f>
        <v>663.074459884326</v>
      </c>
      <c r="T9" s="24" t="n">
        <f aca="false">T8-S8</f>
        <v>779.412507227626</v>
      </c>
      <c r="U9" s="24" t="n">
        <f aca="false">U8-T8</f>
        <v>917.341569429775</v>
      </c>
      <c r="V9" s="24" t="n">
        <f aca="false">V8-U8</f>
        <v>1080.78970415814</v>
      </c>
    </row>
    <row r="11" customFormat="false" ht="15" hidden="false" customHeight="false" outlineLevel="0" collapsed="false">
      <c r="A11" s="13" t="s">
        <v>195</v>
      </c>
      <c r="B11" s="38"/>
      <c r="C11" s="25" t="n">
        <f aca="false">C8*$B$11</f>
        <v>0</v>
      </c>
      <c r="D11" s="25" t="n">
        <f aca="false">D8*$B$11</f>
        <v>0</v>
      </c>
      <c r="E11" s="25" t="n">
        <f aca="false">E8*$B$11</f>
        <v>0</v>
      </c>
      <c r="F11" s="25" t="n">
        <f aca="false">F8*$B$11</f>
        <v>0</v>
      </c>
      <c r="G11" s="25" t="n">
        <f aca="false">G8*$B$11</f>
        <v>0</v>
      </c>
      <c r="H11" s="25" t="n">
        <f aca="false">H8*$B$11</f>
        <v>0</v>
      </c>
      <c r="I11" s="25" t="n">
        <f aca="false">I8*$B$11</f>
        <v>0</v>
      </c>
      <c r="J11" s="25" t="n">
        <f aca="false">J8*$B$11</f>
        <v>0</v>
      </c>
      <c r="K11" s="25" t="n">
        <f aca="false">K8*$B$11</f>
        <v>0</v>
      </c>
      <c r="L11" s="25" t="n">
        <f aca="false">L8*$B$11</f>
        <v>0</v>
      </c>
      <c r="M11" s="25" t="n">
        <f aca="false">M8*$B$11</f>
        <v>0</v>
      </c>
      <c r="N11" s="25" t="n">
        <f aca="false">N8*$B$11</f>
        <v>0</v>
      </c>
      <c r="O11" s="25" t="n">
        <f aca="false">O8*$B$11</f>
        <v>0</v>
      </c>
      <c r="P11" s="25" t="n">
        <f aca="false">P8*$B$11</f>
        <v>0</v>
      </c>
      <c r="Q11" s="25" t="n">
        <f aca="false">Q8*$B$11</f>
        <v>0</v>
      </c>
      <c r="R11" s="25" t="n">
        <f aca="false">R8*$B$11</f>
        <v>0</v>
      </c>
      <c r="S11" s="25" t="n">
        <f aca="false">S8*$B$11</f>
        <v>0</v>
      </c>
      <c r="T11" s="25" t="n">
        <f aca="false">T8*$B$11</f>
        <v>0</v>
      </c>
      <c r="U11" s="25" t="n">
        <f aca="false">U8*$B$11</f>
        <v>0</v>
      </c>
      <c r="V11" s="25" t="n">
        <f aca="false">V8*$B$11</f>
        <v>0</v>
      </c>
    </row>
    <row r="12" customFormat="false" ht="15" hidden="false" customHeight="false" outlineLevel="0" collapsed="false">
      <c r="A12" s="13" t="s">
        <v>196</v>
      </c>
      <c r="B12" s="38"/>
      <c r="C12" s="25" t="n">
        <f aca="false">C8*$B$12</f>
        <v>0</v>
      </c>
      <c r="D12" s="25" t="n">
        <f aca="false">D8*$B$12</f>
        <v>0</v>
      </c>
      <c r="E12" s="25" t="n">
        <f aca="false">E8*$B$12</f>
        <v>0</v>
      </c>
      <c r="F12" s="25" t="n">
        <f aca="false">F8*$B$12</f>
        <v>0</v>
      </c>
      <c r="G12" s="25" t="n">
        <f aca="false">G8*$B$12</f>
        <v>0</v>
      </c>
      <c r="H12" s="25" t="n">
        <f aca="false">H8*$B$12</f>
        <v>0</v>
      </c>
      <c r="I12" s="25" t="n">
        <f aca="false">I8*$B$12</f>
        <v>0</v>
      </c>
      <c r="J12" s="25" t="n">
        <f aca="false">J8*$B$12</f>
        <v>0</v>
      </c>
      <c r="K12" s="25" t="n">
        <f aca="false">K8*$B$12</f>
        <v>0</v>
      </c>
      <c r="L12" s="25" t="n">
        <f aca="false">L8*$B$12</f>
        <v>0</v>
      </c>
      <c r="M12" s="25" t="n">
        <f aca="false">M8*$B$12</f>
        <v>0</v>
      </c>
      <c r="N12" s="25" t="n">
        <f aca="false">N8*$B$12</f>
        <v>0</v>
      </c>
      <c r="O12" s="25" t="n">
        <f aca="false">O8*$B$12</f>
        <v>0</v>
      </c>
      <c r="P12" s="25" t="n">
        <f aca="false">P8*$B$12</f>
        <v>0</v>
      </c>
      <c r="Q12" s="25" t="n">
        <f aca="false">Q8*$B$12</f>
        <v>0</v>
      </c>
      <c r="R12" s="25" t="n">
        <f aca="false">R8*$B$12</f>
        <v>0</v>
      </c>
      <c r="S12" s="25" t="n">
        <f aca="false">S8*$B$12</f>
        <v>0</v>
      </c>
      <c r="T12" s="25" t="n">
        <f aca="false">T8*$B$12</f>
        <v>0</v>
      </c>
      <c r="U12" s="25" t="n">
        <f aca="false">U8*$B$12</f>
        <v>0</v>
      </c>
      <c r="V12" s="25" t="n">
        <f aca="false">V8*$B$12</f>
        <v>0</v>
      </c>
    </row>
    <row r="13" customFormat="false" ht="15" hidden="false" customHeight="false" outlineLevel="0" collapsed="false">
      <c r="A13" s="13" t="s">
        <v>197</v>
      </c>
      <c r="B13" s="38"/>
      <c r="C13" s="25" t="n">
        <f aca="false">C8*$B$13</f>
        <v>0</v>
      </c>
      <c r="D13" s="25" t="n">
        <f aca="false">D8*$B$13</f>
        <v>0</v>
      </c>
      <c r="E13" s="25" t="n">
        <f aca="false">E8*$B$13</f>
        <v>0</v>
      </c>
      <c r="F13" s="25" t="n">
        <f aca="false">F8*$B$13</f>
        <v>0</v>
      </c>
      <c r="G13" s="25" t="n">
        <f aca="false">G8*$B$13</f>
        <v>0</v>
      </c>
      <c r="H13" s="25" t="n">
        <f aca="false">H8*$B$13</f>
        <v>0</v>
      </c>
      <c r="I13" s="25" t="n">
        <f aca="false">I8*$B$13</f>
        <v>0</v>
      </c>
      <c r="J13" s="25" t="n">
        <f aca="false">J8*$B$13</f>
        <v>0</v>
      </c>
      <c r="K13" s="25" t="n">
        <f aca="false">K8*$B$13</f>
        <v>0</v>
      </c>
      <c r="L13" s="25" t="n">
        <f aca="false">L8*$B$13</f>
        <v>0</v>
      </c>
      <c r="M13" s="25" t="n">
        <f aca="false">M8*$B$13</f>
        <v>0</v>
      </c>
      <c r="N13" s="25" t="n">
        <f aca="false">N8*$B$13</f>
        <v>0</v>
      </c>
      <c r="O13" s="25" t="n">
        <f aca="false">O8*$B$13</f>
        <v>0</v>
      </c>
      <c r="P13" s="25" t="n">
        <f aca="false">P8*$B$13</f>
        <v>0</v>
      </c>
      <c r="Q13" s="25" t="n">
        <f aca="false">Q8*$B$13</f>
        <v>0</v>
      </c>
      <c r="R13" s="25" t="n">
        <f aca="false">R8*$B$13</f>
        <v>0</v>
      </c>
      <c r="S13" s="25" t="n">
        <f aca="false">S8*$B$13</f>
        <v>0</v>
      </c>
      <c r="T13" s="25" t="n">
        <f aca="false">T8*$B$13</f>
        <v>0</v>
      </c>
      <c r="U13" s="25" t="n">
        <f aca="false">U8*$B$13</f>
        <v>0</v>
      </c>
      <c r="V13" s="25" t="n">
        <f aca="false">V8*$B$13</f>
        <v>0</v>
      </c>
    </row>
    <row r="14" customFormat="false" ht="15" hidden="false" customHeight="false" outlineLevel="0" collapsed="false">
      <c r="A14" s="13" t="s">
        <v>198</v>
      </c>
      <c r="B14" s="38"/>
      <c r="C14" s="25" t="n">
        <f aca="false">C8*$B$14</f>
        <v>0</v>
      </c>
      <c r="D14" s="25" t="n">
        <f aca="false">D8*$B$14</f>
        <v>0</v>
      </c>
      <c r="E14" s="25" t="n">
        <f aca="false">E8*$B$14</f>
        <v>0</v>
      </c>
      <c r="F14" s="25" t="n">
        <f aca="false">F8*$B$14</f>
        <v>0</v>
      </c>
      <c r="G14" s="25" t="n">
        <f aca="false">G8*$B$14</f>
        <v>0</v>
      </c>
      <c r="H14" s="25" t="n">
        <f aca="false">H8*$B$14</f>
        <v>0</v>
      </c>
      <c r="I14" s="25" t="n">
        <f aca="false">I8*$B$14</f>
        <v>0</v>
      </c>
      <c r="J14" s="25" t="n">
        <f aca="false">J8*$B$14</f>
        <v>0</v>
      </c>
      <c r="K14" s="25" t="n">
        <f aca="false">K8*$B$14</f>
        <v>0</v>
      </c>
      <c r="L14" s="25" t="n">
        <f aca="false">L8*$B$14</f>
        <v>0</v>
      </c>
      <c r="M14" s="25" t="n">
        <f aca="false">M8*$B$14</f>
        <v>0</v>
      </c>
      <c r="N14" s="25" t="n">
        <f aca="false">N8*$B$14</f>
        <v>0</v>
      </c>
      <c r="O14" s="25" t="n">
        <f aca="false">O8*$B$14</f>
        <v>0</v>
      </c>
      <c r="P14" s="25" t="n">
        <f aca="false">P8*$B$14</f>
        <v>0</v>
      </c>
      <c r="Q14" s="25" t="n">
        <f aca="false">Q8*$B$14</f>
        <v>0</v>
      </c>
      <c r="R14" s="25" t="n">
        <f aca="false">R8*$B$14</f>
        <v>0</v>
      </c>
      <c r="S14" s="25" t="n">
        <f aca="false">S8*$B$14</f>
        <v>0</v>
      </c>
      <c r="T14" s="25" t="n">
        <f aca="false">T8*$B$14</f>
        <v>0</v>
      </c>
      <c r="U14" s="25" t="n">
        <f aca="false">U8*$B$14</f>
        <v>0</v>
      </c>
      <c r="V14" s="25" t="n">
        <f aca="false">V8*$B$14</f>
        <v>0</v>
      </c>
    </row>
    <row r="15" customFormat="false" ht="15" hidden="false" customHeight="false" outlineLevel="0" collapsed="false">
      <c r="A15" s="13" t="s">
        <v>199</v>
      </c>
      <c r="B15" s="38"/>
      <c r="C15" s="25" t="n">
        <f aca="false">C8*$B$15</f>
        <v>0</v>
      </c>
      <c r="D15" s="25" t="n">
        <f aca="false">D8*$B$15</f>
        <v>0</v>
      </c>
      <c r="E15" s="25" t="n">
        <f aca="false">E8*$B$15</f>
        <v>0</v>
      </c>
      <c r="F15" s="25" t="n">
        <f aca="false">F8*$B$15</f>
        <v>0</v>
      </c>
      <c r="G15" s="25" t="n">
        <f aca="false">G8*$B$15</f>
        <v>0</v>
      </c>
      <c r="H15" s="25" t="n">
        <f aca="false">H8*$B$15</f>
        <v>0</v>
      </c>
      <c r="I15" s="25" t="n">
        <f aca="false">I8*$B$15</f>
        <v>0</v>
      </c>
      <c r="J15" s="25" t="n">
        <f aca="false">J8*$B$15</f>
        <v>0</v>
      </c>
      <c r="K15" s="25" t="n">
        <f aca="false">K8*$B$15</f>
        <v>0</v>
      </c>
      <c r="L15" s="25" t="n">
        <f aca="false">L8*$B$15</f>
        <v>0</v>
      </c>
      <c r="M15" s="25" t="n">
        <f aca="false">M8*$B$15</f>
        <v>0</v>
      </c>
      <c r="N15" s="25" t="n">
        <f aca="false">N8*$B$15</f>
        <v>0</v>
      </c>
      <c r="O15" s="25" t="n">
        <f aca="false">O8*$B$15</f>
        <v>0</v>
      </c>
      <c r="P15" s="25" t="n">
        <f aca="false">P8*$B$15</f>
        <v>0</v>
      </c>
      <c r="Q15" s="25" t="n">
        <f aca="false">Q8*$B$15</f>
        <v>0</v>
      </c>
      <c r="R15" s="25" t="n">
        <f aca="false">R8*$B$15</f>
        <v>0</v>
      </c>
      <c r="S15" s="25" t="n">
        <f aca="false">S8*$B$15</f>
        <v>0</v>
      </c>
      <c r="T15" s="25" t="n">
        <f aca="false">T8*$B$15</f>
        <v>0</v>
      </c>
      <c r="U15" s="25" t="n">
        <f aca="false">U8*$B$15</f>
        <v>0</v>
      </c>
      <c r="V15" s="25" t="n">
        <f aca="false">V8*$B$15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2" min="2" style="0" width="11"/>
  </cols>
  <sheetData>
    <row r="1" customFormat="false" ht="18.55" hidden="false" customHeight="false" outlineLevel="0" collapsed="false">
      <c r="A1" s="5" t="s">
        <v>200</v>
      </c>
    </row>
    <row r="2" customFormat="false" ht="15" hidden="false" customHeight="false" outlineLevel="0" collapsed="false">
      <c r="A2" s="6" t="s">
        <v>201</v>
      </c>
    </row>
    <row r="5" customFormat="false" ht="15" hidden="false" customHeight="false" outlineLevel="0" collapsed="false">
      <c r="A5" s="23"/>
      <c r="B5" s="10" t="s">
        <v>35</v>
      </c>
      <c r="C5" s="10" t="s">
        <v>104</v>
      </c>
      <c r="D5" s="10" t="s">
        <v>105</v>
      </c>
      <c r="E5" s="10" t="s">
        <v>106</v>
      </c>
      <c r="F5" s="10" t="s">
        <v>107</v>
      </c>
      <c r="G5" s="10" t="s">
        <v>108</v>
      </c>
      <c r="H5" s="10" t="s">
        <v>109</v>
      </c>
      <c r="I5" s="10" t="s">
        <v>110</v>
      </c>
      <c r="J5" s="10" t="s">
        <v>111</v>
      </c>
      <c r="K5" s="10" t="s">
        <v>112</v>
      </c>
      <c r="L5" s="10" t="s">
        <v>113</v>
      </c>
      <c r="M5" s="10" t="s">
        <v>114</v>
      </c>
      <c r="N5" s="10" t="s">
        <v>115</v>
      </c>
      <c r="O5" s="10" t="s">
        <v>116</v>
      </c>
      <c r="P5" s="10" t="s">
        <v>117</v>
      </c>
      <c r="Q5" s="10" t="s">
        <v>118</v>
      </c>
      <c r="R5" s="10" t="s">
        <v>119</v>
      </c>
      <c r="S5" s="10" t="s">
        <v>120</v>
      </c>
      <c r="T5" s="10" t="s">
        <v>121</v>
      </c>
      <c r="U5" s="10" t="s">
        <v>122</v>
      </c>
      <c r="V5" s="10" t="s">
        <v>123</v>
      </c>
    </row>
    <row r="7" customFormat="false" ht="15" hidden="false" customHeight="false" outlineLevel="0" collapsed="false">
      <c r="A7" s="13" t="s">
        <v>183</v>
      </c>
      <c r="B7" s="14" t="s">
        <v>51</v>
      </c>
      <c r="C7" s="39" t="n">
        <f aca="false">'P&amp;L'!C20</f>
        <v>-1039039.2</v>
      </c>
      <c r="D7" s="39" t="n">
        <f aca="false">'P&amp;L'!D20</f>
        <v>-1075937.15174089</v>
      </c>
      <c r="E7" s="39" t="n">
        <f aca="false">'P&amp;L'!E20</f>
        <v>-860796.138363026</v>
      </c>
      <c r="F7" s="39" t="n">
        <f aca="false">'P&amp;L'!F20</f>
        <v>-597972.461618528</v>
      </c>
      <c r="G7" s="39" t="n">
        <f aca="false">'P&amp;L'!G20</f>
        <v>-847329.03616597</v>
      </c>
      <c r="H7" s="39" t="n">
        <f aca="false">'P&amp;L'!H20</f>
        <v>-939604.866667213</v>
      </c>
      <c r="I7" s="39" t="n">
        <f aca="false">'P&amp;L'!I20</f>
        <v>-638079.862903988</v>
      </c>
      <c r="J7" s="39" t="n">
        <f aca="false">'P&amp;L'!J20</f>
        <v>447806.593711354</v>
      </c>
      <c r="K7" s="39" t="n">
        <f aca="false">'P&amp;L'!K20</f>
        <v>3106076.92437287</v>
      </c>
      <c r="L7" s="39" t="n">
        <f aca="false">'P&amp;L'!L20</f>
        <v>8014003.35621107</v>
      </c>
      <c r="M7" s="39" t="n">
        <f aca="false">'P&amp;L'!M20</f>
        <v>15982072.7601144</v>
      </c>
      <c r="N7" s="39" t="n">
        <f aca="false">'P&amp;L'!N20</f>
        <v>28056031.2949975</v>
      </c>
      <c r="O7" s="39" t="n">
        <f aca="false">'P&amp;L'!O20</f>
        <v>45588340.9470954</v>
      </c>
      <c r="P7" s="39" t="n">
        <f aca="false">'P&amp;L'!P20</f>
        <v>70319992.4530721</v>
      </c>
      <c r="Q7" s="39" t="n">
        <f aca="false">'P&amp;L'!Q20</f>
        <v>97109979.328081</v>
      </c>
      <c r="R7" s="39" t="n">
        <f aca="false">'P&amp;L'!R20</f>
        <v>132193326.614455</v>
      </c>
      <c r="S7" s="39" t="n">
        <f aca="false">'P&amp;L'!S20</f>
        <v>177842761.068601</v>
      </c>
      <c r="T7" s="39" t="n">
        <f aca="false">'P&amp;L'!T20</f>
        <v>236915525.203294</v>
      </c>
      <c r="U7" s="39" t="n">
        <f aca="false">'P&amp;L'!U20</f>
        <v>312997817.012606</v>
      </c>
      <c r="V7" s="39" t="n">
        <f aca="false">'P&amp;L'!V20</f>
        <v>410584242.582719</v>
      </c>
    </row>
    <row r="8" customFormat="false" ht="15" hidden="false" customHeight="false" outlineLevel="0" collapsed="false">
      <c r="A8" s="13" t="s">
        <v>202</v>
      </c>
      <c r="B8" s="14" t="s">
        <v>51</v>
      </c>
      <c r="C8" s="39" t="n">
        <f aca="false">'P&amp;L'!C22</f>
        <v>-0</v>
      </c>
      <c r="D8" s="39" t="n">
        <f aca="false">'P&amp;L'!D22</f>
        <v>-0</v>
      </c>
      <c r="E8" s="39" t="n">
        <f aca="false">'P&amp;L'!E22</f>
        <v>-0</v>
      </c>
      <c r="F8" s="39" t="n">
        <f aca="false">'P&amp;L'!F22</f>
        <v>-0</v>
      </c>
      <c r="G8" s="39" t="n">
        <f aca="false">'P&amp;L'!G22</f>
        <v>-0</v>
      </c>
      <c r="H8" s="39" t="n">
        <f aca="false">'P&amp;L'!H22</f>
        <v>-0</v>
      </c>
      <c r="I8" s="39" t="n">
        <f aca="false">'P&amp;L'!I22</f>
        <v>-0</v>
      </c>
      <c r="J8" s="39" t="n">
        <f aca="false">'P&amp;L'!J22</f>
        <v>-134341.978113406</v>
      </c>
      <c r="K8" s="39" t="n">
        <f aca="false">'P&amp;L'!K22</f>
        <v>-931823.077311862</v>
      </c>
      <c r="L8" s="39" t="n">
        <f aca="false">'P&amp;L'!L22</f>
        <v>-2404201.00686332</v>
      </c>
      <c r="M8" s="39" t="n">
        <f aca="false">'P&amp;L'!M22</f>
        <v>-4794621.82803431</v>
      </c>
      <c r="N8" s="39" t="n">
        <f aca="false">'P&amp;L'!N22</f>
        <v>-8416809.38849926</v>
      </c>
      <c r="O8" s="39" t="n">
        <f aca="false">'P&amp;L'!O22</f>
        <v>-13676502.2841286</v>
      </c>
      <c r="P8" s="39" t="n">
        <f aca="false">'P&amp;L'!P22</f>
        <v>-21095997.7359216</v>
      </c>
      <c r="Q8" s="39" t="n">
        <f aca="false">'P&amp;L'!Q22</f>
        <v>-29132993.7984243</v>
      </c>
      <c r="R8" s="39" t="n">
        <f aca="false">'P&amp;L'!R22</f>
        <v>-39657997.9843365</v>
      </c>
      <c r="S8" s="39" t="n">
        <f aca="false">'P&amp;L'!S22</f>
        <v>-53352828.3205803</v>
      </c>
      <c r="T8" s="39" t="n">
        <f aca="false">'P&amp;L'!T22</f>
        <v>-71074657.5609882</v>
      </c>
      <c r="U8" s="39" t="n">
        <f aca="false">'P&amp;L'!U22</f>
        <v>-93899345.1037817</v>
      </c>
      <c r="V8" s="39" t="n">
        <f aca="false">'P&amp;L'!V22</f>
        <v>-123175272.774816</v>
      </c>
    </row>
    <row r="9" customFormat="false" ht="15" hidden="false" customHeight="false" outlineLevel="0" collapsed="false">
      <c r="A9" s="13" t="s">
        <v>203</v>
      </c>
      <c r="B9" s="14" t="s">
        <v>51</v>
      </c>
      <c r="C9" s="30" t="n">
        <f aca="false">Revenue!C36*Assumptions!$F$61/365</f>
        <v>46643.0136986301</v>
      </c>
      <c r="D9" s="30" t="n">
        <f aca="false">Revenue!D36*Assumptions!$F$61/365</f>
        <v>135461.814679164</v>
      </c>
      <c r="E9" s="30" t="n">
        <f aca="false">Revenue!E36*Assumptions!$F$61/365</f>
        <v>315806.690785755</v>
      </c>
      <c r="F9" s="30" t="n">
        <f aca="false">Revenue!F36*Assumptions!$F$61/365</f>
        <v>679989.108989508</v>
      </c>
      <c r="G9" s="30" t="n">
        <f aca="false">Revenue!G36*Assumptions!$F$61/365</f>
        <v>1320640.29695449</v>
      </c>
      <c r="H9" s="30" t="n">
        <f aca="false">Revenue!H36*Assumptions!$F$61/365</f>
        <v>2326767.85491557</v>
      </c>
      <c r="I9" s="30" t="n">
        <f aca="false">Revenue!I36*Assumptions!$F$61/365</f>
        <v>3842849.1987191</v>
      </c>
      <c r="J9" s="30" t="n">
        <f aca="false">Revenue!J36*Assumptions!$F$61/365</f>
        <v>6242319.6096339</v>
      </c>
      <c r="K9" s="30" t="n">
        <f aca="false">Revenue!K36*Assumptions!$F$61/365</f>
        <v>10035210.9535782</v>
      </c>
      <c r="L9" s="30" t="n">
        <f aca="false">Revenue!L36*Assumptions!$F$61/365</f>
        <v>14642838.393034</v>
      </c>
      <c r="M9" s="30" t="n">
        <f aca="false">Revenue!M36*Assumptions!$F$61/365</f>
        <v>20357276.2553471</v>
      </c>
      <c r="N9" s="30" t="n">
        <f aca="false">Revenue!N36*Assumptions!$F$61/365</f>
        <v>27429010.3768862</v>
      </c>
      <c r="O9" s="30" t="n">
        <f aca="false">Revenue!O36*Assumptions!$F$61/365</f>
        <v>36162842.7148682</v>
      </c>
      <c r="P9" s="30" t="n">
        <f aca="false">Revenue!P36*Assumptions!$F$61/365</f>
        <v>46929394.3311686</v>
      </c>
      <c r="Q9" s="30" t="n">
        <f aca="false">Revenue!Q36*Assumptions!$F$61/365</f>
        <v>60179047.8549752</v>
      </c>
      <c r="R9" s="30" t="n">
        <f aca="false">Revenue!R36*Assumptions!$F$61/365</f>
        <v>76458849.4878127</v>
      </c>
      <c r="S9" s="30" t="n">
        <f aca="false">Revenue!S36*Assumptions!$F$61/365</f>
        <v>96433004.004093</v>
      </c>
      <c r="T9" s="30" t="n">
        <f aca="false">Revenue!T36*Assumptions!$F$61/365</f>
        <v>120907735.129266</v>
      </c>
      <c r="U9" s="30" t="n">
        <f aca="false">Revenue!U36*Assumptions!$F$61/365</f>
        <v>150861454.166401</v>
      </c>
      <c r="V9" s="30" t="n">
        <f aca="false">Revenue!V36*Assumptions!$F$61/365</f>
        <v>187481389.307178</v>
      </c>
    </row>
    <row r="10" customFormat="false" ht="15" hidden="false" customHeight="false" outlineLevel="0" collapsed="false">
      <c r="A10" s="13" t="s">
        <v>204</v>
      </c>
      <c r="B10" s="14" t="s">
        <v>51</v>
      </c>
      <c r="C10" s="31" t="n">
        <f aca="false">-C9</f>
        <v>-46643.0136986301</v>
      </c>
      <c r="D10" s="31" t="n">
        <f aca="false">-(D9-C9)</f>
        <v>-88818.8009805336</v>
      </c>
      <c r="E10" s="31" t="n">
        <f aca="false">-(E9-D9)</f>
        <v>-180344.876106592</v>
      </c>
      <c r="F10" s="31" t="n">
        <f aca="false">-(F9-E9)</f>
        <v>-364182.418203752</v>
      </c>
      <c r="G10" s="31" t="n">
        <f aca="false">-(G9-F9)</f>
        <v>-640651.187964982</v>
      </c>
      <c r="H10" s="31" t="n">
        <f aca="false">-(H9-G9)</f>
        <v>-1006127.55796108</v>
      </c>
      <c r="I10" s="31" t="n">
        <f aca="false">-(I9-H9)</f>
        <v>-1516081.34380353</v>
      </c>
      <c r="J10" s="31" t="n">
        <f aca="false">-(J9-I9)</f>
        <v>-2399470.4109148</v>
      </c>
      <c r="K10" s="31" t="n">
        <f aca="false">-(K9-J9)</f>
        <v>-3792891.34394428</v>
      </c>
      <c r="L10" s="31" t="n">
        <f aca="false">-(L9-K9)</f>
        <v>-4607627.43945582</v>
      </c>
      <c r="M10" s="31" t="n">
        <f aca="false">-(M9-L9)</f>
        <v>-5714437.86231313</v>
      </c>
      <c r="N10" s="31" t="n">
        <f aca="false">-(N9-M9)</f>
        <v>-7071734.12153909</v>
      </c>
      <c r="O10" s="31" t="n">
        <f aca="false">-(O9-N9)</f>
        <v>-8733832.33798201</v>
      </c>
      <c r="P10" s="31" t="n">
        <f aca="false">-(P9-O9)</f>
        <v>-10766551.6163004</v>
      </c>
      <c r="Q10" s="31" t="n">
        <f aca="false">-(Q9-P9)</f>
        <v>-13249653.5238066</v>
      </c>
      <c r="R10" s="31" t="n">
        <f aca="false">-(R9-Q9)</f>
        <v>-16279801.6328375</v>
      </c>
      <c r="S10" s="31" t="n">
        <f aca="false">-(S9-R9)</f>
        <v>-19974154.5162803</v>
      </c>
      <c r="T10" s="31" t="n">
        <f aca="false">-(T9-S9)</f>
        <v>-24474731.1251733</v>
      </c>
      <c r="U10" s="31" t="n">
        <f aca="false">-(U9-T9)</f>
        <v>-29953719.0371342</v>
      </c>
      <c r="V10" s="31" t="n">
        <f aca="false">-(V9-U9)</f>
        <v>-36619935.1407773</v>
      </c>
    </row>
    <row r="11" customFormat="false" ht="15" hidden="false" customHeight="false" outlineLevel="0" collapsed="false">
      <c r="A11" s="13" t="s">
        <v>205</v>
      </c>
      <c r="B11" s="14" t="s">
        <v>51</v>
      </c>
      <c r="C11" s="31" t="n">
        <f aca="false">-Revenue!C36*Assumptions!$F$62</f>
        <v>-15477</v>
      </c>
      <c r="D11" s="31" t="n">
        <f aca="false">-Revenue!D36*Assumptions!$F$62</f>
        <v>-44948.6930526316</v>
      </c>
      <c r="E11" s="31" t="n">
        <f aca="false">-Revenue!E36*Assumptions!$F$62</f>
        <v>-104790.401942546</v>
      </c>
      <c r="F11" s="31" t="n">
        <f aca="false">-Revenue!F36*Assumptions!$F$62</f>
        <v>-225632.749801064</v>
      </c>
      <c r="G11" s="31" t="n">
        <f aca="false">-Revenue!G36*Assumptions!$F$62</f>
        <v>-438212.462171262</v>
      </c>
      <c r="H11" s="31" t="n">
        <f aca="false">-Revenue!H36*Assumptions!$F$62</f>
        <v>-772063.879131076</v>
      </c>
      <c r="I11" s="31" t="n">
        <f aca="false">-Revenue!I36*Assumptions!$F$62</f>
        <v>-1275127.23412043</v>
      </c>
      <c r="J11" s="31" t="n">
        <f aca="false">-Revenue!J36*Assumptions!$F$62</f>
        <v>-2071315.1431967</v>
      </c>
      <c r="K11" s="31" t="n">
        <f aca="false">-Revenue!K36*Assumptions!$F$62</f>
        <v>-3329865.45277822</v>
      </c>
      <c r="L11" s="31" t="n">
        <f aca="false">-Revenue!L36*Assumptions!$F$62</f>
        <v>-4858760.01223401</v>
      </c>
      <c r="M11" s="31" t="n">
        <f aca="false">-Revenue!M36*Assumptions!$F$62</f>
        <v>-6754914.39381973</v>
      </c>
      <c r="N11" s="31" t="n">
        <f aca="false">-Revenue!N36*Assumptions!$F$62</f>
        <v>-9101444.35233043</v>
      </c>
      <c r="O11" s="31" t="n">
        <f aca="false">-Revenue!O36*Assumptions!$F$62</f>
        <v>-11999488.7190245</v>
      </c>
      <c r="P11" s="31" t="n">
        <f aca="false">-Revenue!P36*Assumptions!$F$62</f>
        <v>-15572026.3007969</v>
      </c>
      <c r="Q11" s="31" t="n">
        <f aca="false">-Revenue!Q36*Assumptions!$F$62</f>
        <v>-19968502.2427872</v>
      </c>
      <c r="R11" s="31" t="n">
        <f aca="false">-Revenue!R36*Assumptions!$F$62</f>
        <v>-25370436.420956</v>
      </c>
      <c r="S11" s="31" t="n">
        <f aca="false">-Revenue!S36*Assumptions!$F$62</f>
        <v>-31998224.0559036</v>
      </c>
      <c r="T11" s="31" t="n">
        <f aca="false">-Revenue!T36*Assumptions!$F$62</f>
        <v>-40119384.8383475</v>
      </c>
      <c r="U11" s="31" t="n">
        <f aca="false">-Revenue!U36*Assumptions!$F$62</f>
        <v>-50058573.427942</v>
      </c>
      <c r="V11" s="31" t="n">
        <f aca="false">-Revenue!V36*Assumptions!$F$62</f>
        <v>-62209733.7246545</v>
      </c>
    </row>
    <row r="12" customFormat="false" ht="15" hidden="false" customHeight="false" outlineLevel="0" collapsed="false">
      <c r="A12" s="33" t="s">
        <v>206</v>
      </c>
      <c r="B12" s="14" t="s">
        <v>51</v>
      </c>
      <c r="C12" s="32" t="n">
        <f aca="false">SUM(C7:C11)</f>
        <v>-1054516.2</v>
      </c>
      <c r="D12" s="32" t="n">
        <f aca="false">SUM(D7:D11)</f>
        <v>-1074242.83109489</v>
      </c>
      <c r="E12" s="32" t="n">
        <f aca="false">SUM(E7:E11)</f>
        <v>-830124.725626408</v>
      </c>
      <c r="F12" s="32" t="n">
        <f aca="false">SUM(F7:F11)</f>
        <v>-507798.520633837</v>
      </c>
      <c r="G12" s="32" t="n">
        <f aca="false">SUM(G7:G11)</f>
        <v>-605552.389347725</v>
      </c>
      <c r="H12" s="32" t="n">
        <f aca="false">SUM(H7:H11)</f>
        <v>-391028.4488438</v>
      </c>
      <c r="I12" s="32" t="n">
        <f aca="false">SUM(I7:I11)</f>
        <v>413560.757891155</v>
      </c>
      <c r="J12" s="32" t="n">
        <f aca="false">SUM(J7:J11)</f>
        <v>2084998.67112034</v>
      </c>
      <c r="K12" s="32" t="n">
        <f aca="false">SUM(K7:K11)</f>
        <v>5086708.0039167</v>
      </c>
      <c r="L12" s="32" t="n">
        <f aca="false">SUM(L7:L11)</f>
        <v>10786253.2906919</v>
      </c>
      <c r="M12" s="32" t="n">
        <f aca="false">SUM(M7:M11)</f>
        <v>19075374.9312943</v>
      </c>
      <c r="N12" s="32" t="n">
        <f aca="false">SUM(N7:N11)</f>
        <v>30895053.809515</v>
      </c>
      <c r="O12" s="32" t="n">
        <f aca="false">SUM(O7:O11)</f>
        <v>47341360.3208285</v>
      </c>
      <c r="P12" s="32" t="n">
        <f aca="false">SUM(P7:P11)</f>
        <v>69814811.1312219</v>
      </c>
      <c r="Q12" s="32" t="n">
        <f aca="false">SUM(Q7:Q11)</f>
        <v>94937877.6180381</v>
      </c>
      <c r="R12" s="32" t="n">
        <f aca="false">SUM(R7:R11)</f>
        <v>127343940.064138</v>
      </c>
      <c r="S12" s="32" t="n">
        <f aca="false">SUM(S7:S11)</f>
        <v>168950558.17993</v>
      </c>
      <c r="T12" s="32" t="n">
        <f aca="false">SUM(T7:T11)</f>
        <v>222154486.808051</v>
      </c>
      <c r="U12" s="32" t="n">
        <f aca="false">SUM(U7:U11)</f>
        <v>289947633.610148</v>
      </c>
      <c r="V12" s="32" t="n">
        <f aca="false">SUM(V7:V11)</f>
        <v>376060690.24965</v>
      </c>
    </row>
    <row r="14" customFormat="false" ht="15" hidden="false" customHeight="false" outlineLevel="0" collapsed="false">
      <c r="A14" s="13" t="s">
        <v>207</v>
      </c>
      <c r="B14" s="14" t="s">
        <v>51</v>
      </c>
      <c r="C14" s="31" t="n">
        <f aca="false">C12</f>
        <v>-1054516.2</v>
      </c>
      <c r="D14" s="31" t="n">
        <f aca="false">C14+D12</f>
        <v>-2128759.03109489</v>
      </c>
      <c r="E14" s="31" t="n">
        <f aca="false">D14+E12</f>
        <v>-2958883.7567213</v>
      </c>
      <c r="F14" s="31" t="n">
        <f aca="false">E14+F12</f>
        <v>-3466682.27735514</v>
      </c>
      <c r="G14" s="31" t="n">
        <f aca="false">F14+G12</f>
        <v>-4072234.66670286</v>
      </c>
      <c r="H14" s="31" t="n">
        <f aca="false">G14+H12</f>
        <v>-4463263.11554666</v>
      </c>
      <c r="I14" s="31" t="n">
        <f aca="false">H14+I12</f>
        <v>-4049702.35765551</v>
      </c>
      <c r="J14" s="31" t="n">
        <f aca="false">I14+J12</f>
        <v>-1964703.68653516</v>
      </c>
      <c r="K14" s="31" t="n">
        <f aca="false">J14+K12</f>
        <v>3122004.31738154</v>
      </c>
      <c r="L14" s="31" t="n">
        <f aca="false">K14+L12</f>
        <v>13908257.6080735</v>
      </c>
      <c r="M14" s="31" t="n">
        <f aca="false">L14+M12</f>
        <v>32983632.5393678</v>
      </c>
      <c r="N14" s="31" t="n">
        <f aca="false">M14+N12</f>
        <v>63878686.3488828</v>
      </c>
      <c r="O14" s="31" t="n">
        <f aca="false">N14+O12</f>
        <v>111220046.669711</v>
      </c>
      <c r="P14" s="31" t="n">
        <f aca="false">O14+P12</f>
        <v>181034857.800933</v>
      </c>
      <c r="Q14" s="31" t="n">
        <f aca="false">P14+Q12</f>
        <v>275972735.418971</v>
      </c>
      <c r="R14" s="31" t="n">
        <f aca="false">Q14+R12</f>
        <v>403316675.483109</v>
      </c>
      <c r="S14" s="31" t="n">
        <f aca="false">R14+S12</f>
        <v>572267233.663039</v>
      </c>
      <c r="T14" s="31" t="n">
        <f aca="false">S14+T12</f>
        <v>794421720.47109</v>
      </c>
      <c r="U14" s="31" t="n">
        <f aca="false">T14+U12</f>
        <v>1084369354.08124</v>
      </c>
      <c r="V14" s="31" t="n">
        <f aca="false">U14+V12</f>
        <v>1460430044.33089</v>
      </c>
    </row>
    <row r="15" customFormat="false" ht="15" hidden="false" customHeight="false" outlineLevel="0" collapsed="false">
      <c r="A15" s="13" t="s">
        <v>208</v>
      </c>
      <c r="C15" s="40" t="n">
        <f aca="false">MIN(C14:V14)</f>
        <v>-4463263.11554666</v>
      </c>
    </row>
    <row r="16" customFormat="false" ht="15" hidden="false" customHeight="false" outlineLevel="0" collapsed="false">
      <c r="A16" s="13" t="s">
        <v>209</v>
      </c>
      <c r="C16" s="41" t="str">
        <f aca="false">IFERROR(INDEX($C$5:$V$5,MATCH(1,$C$17:$V$17,0)),"not within horizon")</f>
        <v>2033</v>
      </c>
    </row>
    <row r="17" customFormat="false" ht="15" hidden="false" customHeight="false" outlineLevel="0" collapsed="false">
      <c r="A17" s="13" t="s">
        <v>210</v>
      </c>
      <c r="B17" s="14"/>
      <c r="C17" s="24" t="n">
        <f aca="false">IF(C12&gt;0,1,0)</f>
        <v>0</v>
      </c>
      <c r="D17" s="24" t="n">
        <f aca="false">IF(D12&gt;0,1,0)</f>
        <v>0</v>
      </c>
      <c r="E17" s="24" t="n">
        <f aca="false">IF(E12&gt;0,1,0)</f>
        <v>0</v>
      </c>
      <c r="F17" s="24" t="n">
        <f aca="false">IF(F12&gt;0,1,0)</f>
        <v>0</v>
      </c>
      <c r="G17" s="24" t="n">
        <f aca="false">IF(G12&gt;0,1,0)</f>
        <v>0</v>
      </c>
      <c r="H17" s="24" t="n">
        <f aca="false">IF(H12&gt;0,1,0)</f>
        <v>0</v>
      </c>
      <c r="I17" s="24" t="n">
        <f aca="false">IF(I12&gt;0,1,0)</f>
        <v>1</v>
      </c>
      <c r="J17" s="24" t="n">
        <f aca="false">IF(J12&gt;0,1,0)</f>
        <v>1</v>
      </c>
      <c r="K17" s="24" t="n">
        <f aca="false">IF(K12&gt;0,1,0)</f>
        <v>1</v>
      </c>
      <c r="L17" s="24" t="n">
        <f aca="false">IF(L12&gt;0,1,0)</f>
        <v>1</v>
      </c>
      <c r="M17" s="24" t="n">
        <f aca="false">IF(M12&gt;0,1,0)</f>
        <v>1</v>
      </c>
      <c r="N17" s="24" t="n">
        <f aca="false">IF(N12&gt;0,1,0)</f>
        <v>1</v>
      </c>
      <c r="O17" s="24" t="n">
        <f aca="false">IF(O12&gt;0,1,0)</f>
        <v>1</v>
      </c>
      <c r="P17" s="24" t="n">
        <f aca="false">IF(P12&gt;0,1,0)</f>
        <v>1</v>
      </c>
      <c r="Q17" s="24" t="n">
        <f aca="false">IF(Q12&gt;0,1,0)</f>
        <v>1</v>
      </c>
      <c r="R17" s="24" t="n">
        <f aca="false">IF(R12&gt;0,1,0)</f>
        <v>1</v>
      </c>
      <c r="S17" s="24" t="n">
        <f aca="false">IF(S12&gt;0,1,0)</f>
        <v>1</v>
      </c>
      <c r="T17" s="24" t="n">
        <f aca="false">IF(T12&gt;0,1,0)</f>
        <v>1</v>
      </c>
      <c r="U17" s="24" t="n">
        <f aca="false">IF(U12&gt;0,1,0)</f>
        <v>1</v>
      </c>
      <c r="V17" s="24" t="n">
        <f aca="false">IF(V12&gt;0,1,0)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6"/>
    <col collapsed="false" customWidth="true" hidden="false" outlineLevel="0" max="22" min="6" style="0" width="11"/>
  </cols>
  <sheetData>
    <row r="1" customFormat="false" ht="18.55" hidden="false" customHeight="false" outlineLevel="0" collapsed="false">
      <c r="A1" s="5" t="s">
        <v>211</v>
      </c>
    </row>
    <row r="2" customFormat="false" ht="15" hidden="false" customHeight="false" outlineLevel="0" collapsed="false">
      <c r="A2" s="6" t="s">
        <v>212</v>
      </c>
    </row>
    <row r="4" customFormat="false" ht="15" hidden="false" customHeight="false" outlineLevel="0" collapsed="false">
      <c r="A4" s="42" t="s">
        <v>213</v>
      </c>
    </row>
    <row r="6" customFormat="false" ht="15" hidden="false" customHeight="false" outlineLevel="0" collapsed="false">
      <c r="A6" s="9" t="s">
        <v>214</v>
      </c>
      <c r="B6" s="9" t="s">
        <v>215</v>
      </c>
    </row>
    <row r="7" customFormat="false" ht="15" hidden="false" customHeight="false" outlineLevel="0" collapsed="false">
      <c r="A7" s="13" t="s">
        <v>216</v>
      </c>
      <c r="B7" s="43" t="str">
        <f aca="false">Assumptions!$C$3</f>
        <v>Expected</v>
      </c>
    </row>
    <row r="8" customFormat="false" ht="15" hidden="false" customHeight="false" outlineLevel="0" collapsed="false">
      <c r="A8" s="13" t="s">
        <v>217</v>
      </c>
      <c r="B8" s="44" t="n">
        <f aca="false">Customers!F12</f>
        <v>699.5702625</v>
      </c>
    </row>
    <row r="9" customFormat="false" ht="15" hidden="false" customHeight="false" outlineLevel="0" collapsed="false">
      <c r="A9" s="13" t="s">
        <v>218</v>
      </c>
      <c r="B9" s="44" t="n">
        <f aca="false">Customers!K12</f>
        <v>6496.05627795683</v>
      </c>
    </row>
    <row r="10" customFormat="false" ht="15" hidden="false" customHeight="false" outlineLevel="0" collapsed="false">
      <c r="A10" s="13" t="s">
        <v>219</v>
      </c>
      <c r="B10" s="44" t="n">
        <f aca="false">Customers!P12</f>
        <v>19480.0850122752</v>
      </c>
    </row>
    <row r="11" customFormat="false" ht="15" hidden="false" customHeight="false" outlineLevel="0" collapsed="false">
      <c r="A11" s="13" t="s">
        <v>220</v>
      </c>
      <c r="B11" s="44" t="n">
        <f aca="false">Customers!V12</f>
        <v>44983.0083415852</v>
      </c>
    </row>
    <row r="12" customFormat="false" ht="15" hidden="false" customHeight="false" outlineLevel="0" collapsed="false">
      <c r="A12" s="13" t="s">
        <v>221</v>
      </c>
      <c r="B12" s="45" t="n">
        <f aca="false">Revenue!F36</f>
        <v>4512654.99602128</v>
      </c>
    </row>
    <row r="13" customFormat="false" ht="15" hidden="false" customHeight="false" outlineLevel="0" collapsed="false">
      <c r="A13" s="13" t="s">
        <v>222</v>
      </c>
      <c r="B13" s="45" t="n">
        <f aca="false">Revenue!K36</f>
        <v>66597309.0555643</v>
      </c>
    </row>
    <row r="14" customFormat="false" ht="15" hidden="false" customHeight="false" outlineLevel="0" collapsed="false">
      <c r="A14" s="13" t="s">
        <v>223</v>
      </c>
      <c r="B14" s="45" t="n">
        <f aca="false">Revenue!P36</f>
        <v>311440526.015937</v>
      </c>
    </row>
    <row r="15" customFormat="false" ht="15" hidden="false" customHeight="false" outlineLevel="0" collapsed="false">
      <c r="A15" s="26" t="s">
        <v>224</v>
      </c>
      <c r="B15" s="46" t="n">
        <f aca="false">Revenue!V36</f>
        <v>1244194674.49309</v>
      </c>
    </row>
    <row r="16" customFormat="false" ht="15" hidden="false" customHeight="false" outlineLevel="0" collapsed="false">
      <c r="A16" s="13" t="s">
        <v>225</v>
      </c>
      <c r="B16" s="47" t="n">
        <f aca="false">IF(Revenue!F36&lt;=0,"-",(Revenue!P36/Revenue!F36)^(1/10)-1)</f>
        <v>0.527194316805923</v>
      </c>
    </row>
    <row r="17" customFormat="false" ht="15" hidden="false" customHeight="false" outlineLevel="0" collapsed="false">
      <c r="A17" s="13" t="s">
        <v>226</v>
      </c>
      <c r="B17" s="47" t="n">
        <f aca="false">Revenue!G38</f>
        <v>0.757576948064331</v>
      </c>
    </row>
    <row r="18" customFormat="false" ht="15" hidden="false" customHeight="false" outlineLevel="0" collapsed="false">
      <c r="A18" s="13" t="s">
        <v>227</v>
      </c>
      <c r="B18" s="47" t="n">
        <f aca="false">'P&amp;L'!P8</f>
        <v>0.76</v>
      </c>
    </row>
    <row r="19" customFormat="false" ht="15" hidden="false" customHeight="false" outlineLevel="0" collapsed="false">
      <c r="A19" s="13" t="s">
        <v>228</v>
      </c>
      <c r="B19" s="47" t="n">
        <f aca="false">'P&amp;L'!P21</f>
        <v>0.22578947368421</v>
      </c>
    </row>
    <row r="20" customFormat="false" ht="15" hidden="false" customHeight="false" outlineLevel="0" collapsed="false">
      <c r="A20" s="13" t="s">
        <v>229</v>
      </c>
      <c r="B20" s="47" t="n">
        <f aca="false">'P&amp;L'!P26</f>
        <v>0.52351362388974</v>
      </c>
    </row>
    <row r="21" customFormat="false" ht="15" hidden="false" customHeight="false" outlineLevel="0" collapsed="false">
      <c r="A21" s="13" t="s">
        <v>230</v>
      </c>
      <c r="B21" s="44" t="n">
        <f aca="false">Headcount!P8</f>
        <v>2237.19092412204</v>
      </c>
    </row>
    <row r="22" customFormat="false" ht="15" hidden="false" customHeight="false" outlineLevel="0" collapsed="false">
      <c r="A22" s="13" t="s">
        <v>208</v>
      </c>
      <c r="B22" s="46" t="n">
        <f aca="false">IF('Cash Flow'!C15&gt;0,0,-'Cash Flow'!C15)</f>
        <v>4463263.11554666</v>
      </c>
    </row>
    <row r="23" customFormat="false" ht="15" hidden="false" customHeight="false" outlineLevel="0" collapsed="false">
      <c r="A23" s="13" t="s">
        <v>209</v>
      </c>
      <c r="B23" s="43" t="str">
        <f aca="false">'Cash Flow'!C16</f>
        <v>2033</v>
      </c>
    </row>
    <row r="24" customFormat="false" ht="15" hidden="false" customHeight="false" outlineLevel="0" collapsed="false">
      <c r="A24" s="26" t="s">
        <v>231</v>
      </c>
      <c r="B24" s="46" t="n">
        <f aca="false">Revenue!V36*Assumptions!$F$65</f>
        <v>7465168046.95854</v>
      </c>
    </row>
    <row r="26" customFormat="false" ht="15" hidden="false" customHeight="false" outlineLevel="0" collapsed="false">
      <c r="A26" s="7" t="s">
        <v>232</v>
      </c>
    </row>
    <row r="27" customFormat="false" ht="15" hidden="false" customHeight="false" outlineLevel="0" collapsed="false">
      <c r="A27" s="3" t="s">
        <v>233</v>
      </c>
    </row>
    <row r="28" customFormat="false" ht="15" hidden="false" customHeight="false" outlineLevel="0" collapsed="false">
      <c r="A28" s="3" t="s">
        <v>234</v>
      </c>
    </row>
    <row r="29" customFormat="false" ht="15" hidden="false" customHeight="false" outlineLevel="0" collapsed="false">
      <c r="A29" s="3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4"/>
    <col collapsed="false" customWidth="true" hidden="false" outlineLevel="0" max="22" min="8" style="0" width="11"/>
  </cols>
  <sheetData>
    <row r="1" customFormat="false" ht="18.55" hidden="false" customHeight="false" outlineLevel="0" collapsed="false">
      <c r="A1" s="5" t="s">
        <v>236</v>
      </c>
    </row>
    <row r="2" customFormat="false" ht="15" hidden="false" customHeight="false" outlineLevel="0" collapsed="false">
      <c r="A2" s="6" t="s">
        <v>237</v>
      </c>
    </row>
    <row r="4" customFormat="false" ht="15" hidden="false" customHeight="false" outlineLevel="0" collapsed="false">
      <c r="A4" s="48" t="s">
        <v>238</v>
      </c>
    </row>
    <row r="5" customFormat="false" ht="15" hidden="false" customHeight="false" outlineLevel="0" collapsed="false">
      <c r="A5" s="48" t="s">
        <v>239</v>
      </c>
    </row>
    <row r="7" customFormat="false" ht="15" hidden="false" customHeight="false" outlineLevel="0" collapsed="false">
      <c r="A7" s="49"/>
      <c r="B7" s="50" t="n">
        <v>0.98</v>
      </c>
      <c r="C7" s="50" t="n">
        <v>1.02</v>
      </c>
      <c r="D7" s="50" t="n">
        <v>1.06</v>
      </c>
      <c r="E7" s="50" t="n">
        <v>1.1</v>
      </c>
      <c r="F7" s="50" t="n">
        <v>1.14</v>
      </c>
      <c r="G7" s="50" t="n">
        <v>1.18</v>
      </c>
    </row>
    <row r="8" customFormat="false" ht="15" hidden="false" customHeight="false" outlineLevel="0" collapsed="false">
      <c r="A8" s="50" t="n">
        <v>0.3</v>
      </c>
      <c r="B8" s="51" t="n">
        <f aca="false">(Assumptions!$F$10*((1+Assumptions!$F$11)^3)*((1+$A8)^5)*((1+Assumptions!$F$13)^11))*Revenue!$V$8*(1-B$7^20)/(1-B$7)/20*(Revenue!$V$36/Revenue!$V$13)</f>
        <v>74893939.2314638</v>
      </c>
      <c r="C8" s="51" t="n">
        <f aca="false">(Assumptions!$F$10*((1+Assumptions!$F$11)^3)*((1+$A8)^5)*((1+Assumptions!$F$13)^11))*Revenue!$V$8*(1-C$7^20)/(1-C$7)/20*(Revenue!$V$36/Revenue!$V$13)</f>
        <v>109492742.459141</v>
      </c>
      <c r="D8" s="51" t="n">
        <f aca="false">(Assumptions!$F$10*((1+Assumptions!$F$11)^3)*((1+$A8)^5)*((1+Assumptions!$F$13)^11))*Revenue!$V$8*(1-D$7^20)/(1-D$7)/20*(Revenue!$V$36/Revenue!$V$13)</f>
        <v>165769188.072228</v>
      </c>
      <c r="E8" s="51" t="n">
        <f aca="false">(Assumptions!$F$10*((1+Assumptions!$F$11)^3)*((1+$A8)^5)*((1+Assumptions!$F$13)^11))*Revenue!$V$8*(1-E$7^20)/(1-E$7)/20*(Revenue!$V$36/Revenue!$V$13)</f>
        <v>258101877.724306</v>
      </c>
      <c r="F8" s="51" t="n">
        <f aca="false">(Assumptions!$F$10*((1+Assumptions!$F$11)^3)*((1+$A8)^5)*((1+Assumptions!$F$13)^11))*Revenue!$V$8*(1-F$7^20)/(1-F$7)/20*(Revenue!$V$36/Revenue!$V$13)</f>
        <v>410191269.412873</v>
      </c>
      <c r="G8" s="51" t="n">
        <f aca="false">(Assumptions!$F$10*((1+Assumptions!$F$11)^3)*((1+$A8)^5)*((1+Assumptions!$F$13)^11))*Revenue!$V$8*(1-G$7^20)/(1-G$7)/20*(Revenue!$V$36/Revenue!$V$13)</f>
        <v>660758703.182359</v>
      </c>
    </row>
    <row r="9" customFormat="false" ht="15" hidden="false" customHeight="false" outlineLevel="0" collapsed="false">
      <c r="A9" s="50" t="n">
        <v>0.4</v>
      </c>
      <c r="B9" s="51" t="n">
        <f aca="false">(Assumptions!$F$10*((1+Assumptions!$F$11)^3)*((1+$A9)^5)*((1+Assumptions!$F$13)^11))*Revenue!$V$8*(1-B$7^20)/(1-B$7)/20*(Revenue!$V$36/Revenue!$V$13)</f>
        <v>108485099.296843</v>
      </c>
      <c r="C9" s="51" t="n">
        <f aca="false">(Assumptions!$F$10*((1+Assumptions!$F$11)^3)*((1+$A9)^5)*((1+Assumptions!$F$13)^11))*Revenue!$V$8*(1-C$7^20)/(1-C$7)/20*(Revenue!$V$36/Revenue!$V$13)</f>
        <v>158602033.219977</v>
      </c>
      <c r="D9" s="51" t="n">
        <f aca="false">(Assumptions!$F$10*((1+Assumptions!$F$11)^3)*((1+$A9)^5)*((1+Assumptions!$F$13)^11))*Revenue!$V$8*(1-D$7^20)/(1-D$7)/20*(Revenue!$V$36/Revenue!$V$13)</f>
        <v>240119387.668924</v>
      </c>
      <c r="E9" s="51" t="n">
        <f aca="false">(Assumptions!$F$10*((1+Assumptions!$F$11)^3)*((1+$A9)^5)*((1+Assumptions!$F$13)^11))*Revenue!$V$8*(1-E$7^20)/(1-E$7)/20*(Revenue!$V$36/Revenue!$V$13)</f>
        <v>373864802.95938</v>
      </c>
      <c r="F9" s="51" t="n">
        <f aca="false">(Assumptions!$F$10*((1+Assumptions!$F$11)^3)*((1+$A9)^5)*((1+Assumptions!$F$13)^11))*Revenue!$V$8*(1-F$7^20)/(1-F$7)/20*(Revenue!$V$36/Revenue!$V$13)</f>
        <v>594168781.207049</v>
      </c>
      <c r="G9" s="51" t="n">
        <f aca="false">(Assumptions!$F$10*((1+Assumptions!$F$11)^3)*((1+$A9)^5)*((1+Assumptions!$F$13)^11))*Revenue!$V$8*(1-G$7^20)/(1-G$7)/20*(Revenue!$V$36/Revenue!$V$13)</f>
        <v>957119818.527009</v>
      </c>
    </row>
    <row r="10" customFormat="false" ht="15" hidden="false" customHeight="false" outlineLevel="0" collapsed="false">
      <c r="A10" s="50" t="n">
        <v>0.5</v>
      </c>
      <c r="B10" s="51" t="n">
        <f aca="false">(Assumptions!$F$10*((1+Assumptions!$F$11)^3)*((1+$A10)^5)*((1+Assumptions!$F$13)^11))*Revenue!$V$8*(1-B$7^20)/(1-B$7)/20*(Revenue!$V$36/Revenue!$V$13)</f>
        <v>153174407.015195</v>
      </c>
      <c r="C10" s="51" t="n">
        <f aca="false">(Assumptions!$F$10*((1+Assumptions!$F$11)^3)*((1+$A10)^5)*((1+Assumptions!$F$13)^11))*Revenue!$V$8*(1-C$7^20)/(1-C$7)/20*(Revenue!$V$36/Revenue!$V$13)</f>
        <v>223936490.332191</v>
      </c>
      <c r="D10" s="51" t="n">
        <f aca="false">(Assumptions!$F$10*((1+Assumptions!$F$11)^3)*((1+$A10)^5)*((1+Assumptions!$F$13)^11))*Revenue!$V$8*(1-D$7^20)/(1-D$7)/20*(Revenue!$V$36/Revenue!$V$13)</f>
        <v>339034070.645953</v>
      </c>
      <c r="E10" s="51" t="n">
        <f aca="false">(Assumptions!$F$10*((1+Assumptions!$F$11)^3)*((1+$A10)^5)*((1+Assumptions!$F$13)^11))*Revenue!$V$8*(1-E$7^20)/(1-E$7)/20*(Revenue!$V$36/Revenue!$V$13)</f>
        <v>527874517.959927</v>
      </c>
      <c r="F10" s="51" t="n">
        <f aca="false">(Assumptions!$F$10*((1+Assumptions!$F$11)^3)*((1+$A10)^5)*((1+Assumptions!$F$13)^11))*Revenue!$V$8*(1-F$7^20)/(1-F$7)/20*(Revenue!$V$36/Revenue!$V$13)</f>
        <v>838930427.480185</v>
      </c>
      <c r="G10" s="51" t="n">
        <f aca="false">(Assumptions!$F$10*((1+Assumptions!$F$11)^3)*((1+$A10)^5)*((1+Assumptions!$F$13)^11))*Revenue!$V$8*(1-G$7^20)/(1-G$7)/20*(Revenue!$V$36/Revenue!$V$13)</f>
        <v>1351395367.61831</v>
      </c>
    </row>
    <row r="11" customFormat="false" ht="15" hidden="false" customHeight="false" outlineLevel="0" collapsed="false">
      <c r="A11" s="50" t="n">
        <v>0.6</v>
      </c>
      <c r="B11" s="51" t="n">
        <f aca="false">(Assumptions!$F$10*((1+Assumptions!$F$11)^3)*((1+$A11)^5)*((1+Assumptions!$F$13)^11))*Revenue!$V$8*(1-B$7^20)/(1-B$7)/20*(Revenue!$V$36/Revenue!$V$13)</f>
        <v>211509474.252333</v>
      </c>
      <c r="C11" s="51" t="n">
        <f aca="false">(Assumptions!$F$10*((1+Assumptions!$F$11)^3)*((1+$A11)^5)*((1+Assumptions!$F$13)^11))*Revenue!$V$8*(1-C$7^20)/(1-C$7)/20*(Revenue!$V$36/Revenue!$V$13)</f>
        <v>309220647.620171</v>
      </c>
      <c r="D11" s="51" t="n">
        <f aca="false">(Assumptions!$F$10*((1+Assumptions!$F$11)^3)*((1+$A11)^5)*((1+Assumptions!$F$13)^11))*Revenue!$V$8*(1-D$7^20)/(1-D$7)/20*(Revenue!$V$36/Revenue!$V$13)</f>
        <v>468152085.151146</v>
      </c>
      <c r="E11" s="52" t="n">
        <f aca="false">(Assumptions!$F$10*((1+Assumptions!$F$11)^3)*((1+$A11)^5)*((1+Assumptions!$F$13)^11))*Revenue!$V$8*(1-E$7^20)/(1-E$7)/20*(Revenue!$V$36/Revenue!$V$13)</f>
        <v>728910683.844409</v>
      </c>
      <c r="F11" s="51" t="n">
        <f aca="false">(Assumptions!$F$10*((1+Assumptions!$F$11)^3)*((1+$A11)^5)*((1+Assumptions!$F$13)^11))*Revenue!$V$8*(1-F$7^20)/(1-F$7)/20*(Revenue!$V$36/Revenue!$V$13)</f>
        <v>1158429381.95946</v>
      </c>
      <c r="G11" s="51" t="n">
        <f aca="false">(Assumptions!$F$10*((1+Assumptions!$F$11)^3)*((1+$A11)^5)*((1+Assumptions!$F$13)^11))*Revenue!$V$8*(1-G$7^20)/(1-G$7)/20*(Revenue!$V$36/Revenue!$V$13)</f>
        <v>1866061891.68162</v>
      </c>
    </row>
    <row r="12" customFormat="false" ht="15" hidden="false" customHeight="false" outlineLevel="0" collapsed="false">
      <c r="A12" s="50" t="n">
        <v>0.7</v>
      </c>
      <c r="B12" s="51" t="n">
        <f aca="false">(Assumptions!$F$10*((1+Assumptions!$F$11)^3)*((1+$A12)^5)*((1+Assumptions!$F$13)^11))*Revenue!$V$8*(1-B$7^20)/(1-B$7)/20*(Revenue!$V$36/Revenue!$V$13)</f>
        <v>286400992.949957</v>
      </c>
      <c r="C12" s="51" t="n">
        <f aca="false">(Assumptions!$F$10*((1+Assumptions!$F$11)^3)*((1+$A12)^5)*((1+Assumptions!$F$13)^11))*Revenue!$V$8*(1-C$7^20)/(1-C$7)/20*(Revenue!$V$36/Revenue!$V$13)</f>
        <v>418709851.329835</v>
      </c>
      <c r="D12" s="51" t="n">
        <f aca="false">(Assumptions!$F$10*((1+Assumptions!$F$11)^3)*((1+$A12)^5)*((1+Assumptions!$F$13)^11))*Revenue!$V$8*(1-D$7^20)/(1-D$7)/20*(Revenue!$V$36/Revenue!$V$13)</f>
        <v>633915915.647936</v>
      </c>
      <c r="E12" s="51" t="n">
        <f aca="false">(Assumptions!$F$10*((1+Assumptions!$F$11)^3)*((1+$A12)^5)*((1+Assumptions!$F$13)^11))*Revenue!$V$8*(1-E$7^20)/(1-E$7)/20*(Revenue!$V$36/Revenue!$V$13)</f>
        <v>987004219.847937</v>
      </c>
      <c r="F12" s="51" t="n">
        <f aca="false">(Assumptions!$F$10*((1+Assumptions!$F$11)^3)*((1+$A12)^5)*((1+Assumptions!$F$13)^11))*Revenue!$V$8*(1-F$7^20)/(1-F$7)/20*(Revenue!$V$36/Revenue!$V$13)</f>
        <v>1568607394.20014</v>
      </c>
      <c r="G12" s="51" t="n">
        <f aca="false">(Assumptions!$F$10*((1+Assumptions!$F$11)^3)*((1+$A12)^5)*((1+Assumptions!$F$13)^11))*Revenue!$V$8*(1-G$7^20)/(1-G$7)/20*(Revenue!$V$36/Revenue!$V$13)</f>
        <v>2526799239.4804</v>
      </c>
    </row>
    <row r="13" customFormat="false" ht="15" hidden="false" customHeight="false" outlineLevel="0" collapsed="false">
      <c r="A13" s="50" t="n">
        <v>0.8</v>
      </c>
      <c r="B13" s="51" t="n">
        <f aca="false">(Assumptions!$F$10*((1+Assumptions!$F$11)^3)*((1+$A13)^5)*((1+Assumptions!$F$13)^11))*Revenue!$V$8*(1-B$7^20)/(1-B$7)/20*(Revenue!$V$36/Revenue!$V$13)</f>
        <v>381146940.46405</v>
      </c>
      <c r="C13" s="51" t="n">
        <f aca="false">(Assumptions!$F$10*((1+Assumptions!$F$11)^3)*((1+$A13)^5)*((1+Assumptions!$F$13)^11))*Revenue!$V$8*(1-C$7^20)/(1-C$7)/20*(Revenue!$V$36/Revenue!$V$13)</f>
        <v>557225647.623397</v>
      </c>
      <c r="D13" s="51" t="n">
        <f aca="false">(Assumptions!$F$10*((1+Assumptions!$F$11)^3)*((1+$A13)^5)*((1+Assumptions!$F$13)^11))*Revenue!$V$8*(1-D$7^20)/(1-D$7)/20*(Revenue!$V$36/Revenue!$V$13)</f>
        <v>843625258.669739</v>
      </c>
      <c r="E13" s="51" t="n">
        <f aca="false">(Assumptions!$F$10*((1+Assumptions!$F$11)^3)*((1+$A13)^5)*((1+Assumptions!$F$13)^11))*Revenue!$V$8*(1-E$7^20)/(1-E$7)/20*(Revenue!$V$36/Revenue!$V$13)</f>
        <v>1313520720.53005</v>
      </c>
      <c r="F13" s="51" t="n">
        <f aca="false">(Assumptions!$F$10*((1+Assumptions!$F$11)^3)*((1+$A13)^5)*((1+Assumptions!$F$13)^11))*Revenue!$V$8*(1-F$7^20)/(1-F$7)/20*(Revenue!$V$36/Revenue!$V$13)</f>
        <v>2087527361.30749</v>
      </c>
      <c r="G13" s="51" t="n">
        <f aca="false">(Assumptions!$F$10*((1+Assumptions!$F$11)^3)*((1+$A13)^5)*((1+Assumptions!$F$13)^11))*Revenue!$V$8*(1-G$7^20)/(1-G$7)/20*(Revenue!$V$36/Revenue!$V$13)</f>
        <v>3362704121.15199</v>
      </c>
    </row>
    <row r="15" customFormat="false" ht="15" hidden="false" customHeight="false" outlineLevel="0" collapsed="false">
      <c r="A15" s="7" t="s">
        <v>240</v>
      </c>
    </row>
    <row r="16" customFormat="false" ht="15" hidden="false" customHeight="false" outlineLevel="0" collapsed="false">
      <c r="A16" s="3" t="s">
        <v>241</v>
      </c>
    </row>
    <row r="17" customFormat="false" ht="15" hidden="false" customHeight="false" outlineLevel="0" collapsed="false">
      <c r="A17" s="3" t="s">
        <v>242</v>
      </c>
    </row>
    <row r="18" customFormat="false" ht="15" hidden="false" customHeight="false" outlineLevel="0" collapsed="false">
      <c r="A18" s="3" t="s">
        <v>243</v>
      </c>
    </row>
    <row r="19" customFormat="false" ht="15" hidden="false" customHeight="false" outlineLevel="0" collapsed="false">
      <c r="A19" s="3" t="s">
        <v>244</v>
      </c>
    </row>
    <row r="20" customFormat="false" ht="15" hidden="false" customHeight="false" outlineLevel="0" collapsed="false">
      <c r="A20" s="3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3"/>
    <col collapsed="false" customWidth="true" hidden="false" outlineLevel="0" max="22" min="8" style="0" width="11"/>
  </cols>
  <sheetData>
    <row r="1" customFormat="false" ht="18.55" hidden="false" customHeight="false" outlineLevel="0" collapsed="false">
      <c r="A1" s="5" t="s">
        <v>100</v>
      </c>
    </row>
    <row r="2" customFormat="false" ht="15" hidden="false" customHeight="false" outlineLevel="0" collapsed="false">
      <c r="A2" s="6" t="s">
        <v>246</v>
      </c>
    </row>
    <row r="4" customFormat="false" ht="15" hidden="false" customHeight="false" outlineLevel="0" collapsed="false">
      <c r="A4" s="48" t="s">
        <v>247</v>
      </c>
      <c r="B4" s="46" t="n">
        <f aca="false">Revenue!V36</f>
        <v>1244194674.49309</v>
      </c>
    </row>
    <row r="6" customFormat="false" ht="15" hidden="false" customHeight="false" outlineLevel="0" collapsed="false">
      <c r="A6" s="48" t="s">
        <v>248</v>
      </c>
    </row>
    <row r="7" customFormat="false" ht="15" hidden="false" customHeight="false" outlineLevel="0" collapsed="false">
      <c r="A7" s="49"/>
      <c r="B7" s="53" t="n">
        <v>3</v>
      </c>
      <c r="C7" s="53" t="n">
        <v>4</v>
      </c>
      <c r="D7" s="53" t="n">
        <v>5</v>
      </c>
      <c r="E7" s="53" t="n">
        <v>6</v>
      </c>
      <c r="F7" s="53" t="n">
        <v>8</v>
      </c>
      <c r="G7" s="53" t="n">
        <v>10</v>
      </c>
    </row>
    <row r="8" customFormat="false" ht="15" hidden="false" customHeight="false" outlineLevel="0" collapsed="false">
      <c r="A8" s="54" t="n">
        <v>0.15</v>
      </c>
      <c r="B8" s="55" t="n">
        <f aca="false">$A8*B$7</f>
        <v>0.45</v>
      </c>
      <c r="C8" s="55" t="n">
        <f aca="false">$A8*C$7</f>
        <v>0.6</v>
      </c>
      <c r="D8" s="55" t="n">
        <f aca="false">$A8*D$7</f>
        <v>0.75</v>
      </c>
      <c r="E8" s="55" t="n">
        <f aca="false">$A8*E$7</f>
        <v>0.9</v>
      </c>
      <c r="F8" s="55" t="n">
        <f aca="false">$A8*F$7</f>
        <v>1.2</v>
      </c>
      <c r="G8" s="55" t="n">
        <f aca="false">$A8*G$7</f>
        <v>1.5</v>
      </c>
    </row>
    <row r="9" customFormat="false" ht="15" hidden="false" customHeight="false" outlineLevel="0" collapsed="false">
      <c r="A9" s="54" t="n">
        <v>0.5</v>
      </c>
      <c r="B9" s="55" t="n">
        <f aca="false">$A9*B$7</f>
        <v>1.5</v>
      </c>
      <c r="C9" s="55" t="n">
        <f aca="false">$A9*C$7</f>
        <v>2</v>
      </c>
      <c r="D9" s="55" t="n">
        <f aca="false">$A9*D$7</f>
        <v>2.5</v>
      </c>
      <c r="E9" s="55" t="n">
        <f aca="false">$A9*E$7</f>
        <v>3</v>
      </c>
      <c r="F9" s="55" t="n">
        <f aca="false">$A9*F$7</f>
        <v>4</v>
      </c>
      <c r="G9" s="55" t="n">
        <f aca="false">$A9*G$7</f>
        <v>5</v>
      </c>
    </row>
    <row r="10" customFormat="false" ht="15" hidden="false" customHeight="false" outlineLevel="0" collapsed="false">
      <c r="A10" s="54" t="n">
        <v>1</v>
      </c>
      <c r="B10" s="55" t="n">
        <f aca="false">$A10*B$7</f>
        <v>3</v>
      </c>
      <c r="C10" s="55" t="n">
        <f aca="false">$A10*C$7</f>
        <v>4</v>
      </c>
      <c r="D10" s="55" t="n">
        <f aca="false">$A10*D$7</f>
        <v>5</v>
      </c>
      <c r="E10" s="55" t="n">
        <f aca="false">$A10*E$7</f>
        <v>6</v>
      </c>
      <c r="F10" s="55" t="n">
        <f aca="false">$A10*F$7</f>
        <v>8</v>
      </c>
      <c r="G10" s="55" t="n">
        <f aca="false">$A10*G$7</f>
        <v>10</v>
      </c>
    </row>
    <row r="11" customFormat="false" ht="15" hidden="false" customHeight="false" outlineLevel="0" collapsed="false">
      <c r="A11" s="54" t="n">
        <v>1.8</v>
      </c>
      <c r="B11" s="55" t="n">
        <f aca="false">$A11*B$7</f>
        <v>5.4</v>
      </c>
      <c r="C11" s="55" t="n">
        <f aca="false">$A11*C$7</f>
        <v>7.2</v>
      </c>
      <c r="D11" s="55" t="n">
        <f aca="false">$A11*D$7</f>
        <v>9</v>
      </c>
      <c r="E11" s="55" t="n">
        <f aca="false">$A11*E$7</f>
        <v>10.8</v>
      </c>
      <c r="F11" s="55" t="n">
        <f aca="false">$A11*F$7</f>
        <v>14.4</v>
      </c>
      <c r="G11" s="56" t="n">
        <f aca="false">$A11*G$7</f>
        <v>18</v>
      </c>
    </row>
    <row r="12" customFormat="false" ht="15" hidden="false" customHeight="false" outlineLevel="0" collapsed="false">
      <c r="A12" s="54" t="n">
        <v>3</v>
      </c>
      <c r="B12" s="55" t="n">
        <f aca="false">$A12*B$7</f>
        <v>9</v>
      </c>
      <c r="C12" s="55" t="n">
        <f aca="false">$A12*C$7</f>
        <v>12</v>
      </c>
      <c r="D12" s="56" t="n">
        <f aca="false">$A12*D$7</f>
        <v>15</v>
      </c>
      <c r="E12" s="56" t="n">
        <f aca="false">$A12*E$7</f>
        <v>18</v>
      </c>
      <c r="F12" s="56" t="n">
        <f aca="false">$A12*F$7</f>
        <v>24</v>
      </c>
      <c r="G12" s="56" t="n">
        <f aca="false">$A12*G$7</f>
        <v>30</v>
      </c>
    </row>
    <row r="13" customFormat="false" ht="15" hidden="false" customHeight="false" outlineLevel="0" collapsed="false">
      <c r="A13" s="54" t="n">
        <v>5.5</v>
      </c>
      <c r="B13" s="56" t="n">
        <f aca="false">$A13*B$7</f>
        <v>16.5</v>
      </c>
      <c r="C13" s="56" t="n">
        <f aca="false">$A13*C$7</f>
        <v>22</v>
      </c>
      <c r="D13" s="56" t="n">
        <f aca="false">$A13*D$7</f>
        <v>27.5</v>
      </c>
      <c r="E13" s="56" t="n">
        <f aca="false">$A13*E$7</f>
        <v>33</v>
      </c>
      <c r="F13" s="55" t="n">
        <f aca="false">$A13*F$7</f>
        <v>44</v>
      </c>
      <c r="G13" s="55" t="n">
        <f aca="false">$A13*G$7</f>
        <v>55</v>
      </c>
    </row>
    <row r="15" customFormat="false" ht="15" hidden="false" customHeight="false" outlineLevel="0" collapsed="false">
      <c r="A15" s="7" t="s">
        <v>249</v>
      </c>
    </row>
    <row r="16" customFormat="false" ht="15" hidden="false" customHeight="false" outlineLevel="0" collapsed="false">
      <c r="A16" s="3" t="s">
        <v>250</v>
      </c>
    </row>
    <row r="17" customFormat="false" ht="15" hidden="false" customHeight="false" outlineLevel="0" collapsed="false">
      <c r="A17" s="3" t="s">
        <v>251</v>
      </c>
    </row>
    <row r="18" customFormat="false" ht="15" hidden="false" customHeight="false" outlineLevel="0" collapsed="false">
      <c r="A18" s="3" t="s">
        <v>252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3" t="s">
        <v>253</v>
      </c>
    </row>
    <row r="21" customFormat="false" ht="15" hidden="false" customHeight="false" outlineLevel="0" collapsed="false">
      <c r="A21" s="3" t="s">
        <v>254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3" t="s">
        <v>255</v>
      </c>
    </row>
    <row r="24" customFormat="false" ht="15" hidden="false" customHeight="false" outlineLevel="0" collapsed="false">
      <c r="A24" s="3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2026-08-13T09:09:33Z</dcterms:created>
  <dc:creator>openpyxl</dc:creator>
  <dc:description/>
  <dc:language>en-US</dc:language>
  <cp:lastModifiedBy/>
  <dcterms:modified xsi:type="dcterms:W3CDTF">2026-08-13T09:09:33Z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